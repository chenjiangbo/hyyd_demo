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sendev\hyyd-AI\hyyd_demo\docs\"/>
    </mc:Choice>
  </mc:AlternateContent>
  <bookViews>
    <workbookView windowWidth="24750" windowHeight="10600"/>
  </bookViews>
  <sheets>
    <sheet name="Project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<sst xmlns="http://schemas.openxmlformats.org/spreadsheetml/2006/main" count="256" uniqueCount="154">
  <si>
    <t>寰宇订单下拉字段配置说明</t>
  </si>
  <si>
    <t>覆盖当前已配置与已知页面下拉字段。远端字典查询仅使用固定的参数化 SELECT，服务端不执行新增、修改或删除操作。</t>
  </si>
  <si>
    <t>页面区域</t>
  </si>
  <si>
    <t>字段名称</t>
  </si>
  <si>
    <t>组件类型</t>
  </si>
  <si>
    <t>数据来源</t>
  </si>
  <si>
    <t>码值字段</t>
  </si>
  <si>
    <t>展示字段</t>
  </si>
  <si>
    <t>模糊搜索条件</t>
  </si>
  <si>
    <t>依赖字段</t>
  </si>
  <si>
    <t>关联或启用条件</t>
  </si>
  <si>
    <t>选择后自动带出或处理</t>
  </si>
  <si>
    <t>只读或备注</t>
  </si>
  <si>
    <t>订单基本信息</t>
  </si>
  <si>
    <t>订单状态</t>
  </si>
  <si>
    <t>下拉框</t>
  </si>
  <si>
    <t>后端固定字典</t>
  </si>
  <si>
    <t>—</t>
  </si>
  <si>
    <t>影响订单金额规则</t>
  </si>
  <si>
    <t>状态为已取消或无责取消时金额强制为 0</t>
  </si>
  <si>
    <t>待补充取数规则</t>
  </si>
  <si>
    <t>B端渠道</t>
  </si>
  <si>
    <t>可搜索下拉</t>
  </si>
  <si>
    <t>dim_hy_qd</t>
  </si>
  <si>
    <t>id</t>
  </si>
  <si>
    <t>name</t>
  </si>
  <si>
    <t>id、name 模糊匹配</t>
  </si>
  <si>
    <t>无</t>
  </si>
  <si>
    <t>选择值作为 B端渠道服务项目的依赖码值</t>
  </si>
  <si>
    <t>仅读取</t>
  </si>
  <si>
    <t>B端渠道服务项目</t>
  </si>
  <si>
    <t>dim_hy_qd_cp</t>
  </si>
  <si>
    <t>name 模糊匹配</t>
  </si>
  <si>
    <t>B端渠道 id</t>
  </si>
  <si>
    <t>服务项目 id 前 4 位与渠道 id 前 4 位一致</t>
  </si>
  <si>
    <t>内部一级=nbyjcp；内部二级=nbejcp；订单金额=CPJG</t>
  </si>
  <si>
    <t>内部一级、内部二级只读；切换项目后金额只读</t>
  </si>
  <si>
    <t>客户经理</t>
  </si>
  <si>
    <t>只读输入框</t>
  </si>
  <si>
    <t>当前登录会话</t>
  </si>
  <si>
    <t>员工编码</t>
  </si>
  <si>
    <t>登录人显示名称</t>
  </si>
  <si>
    <t>不适用</t>
  </si>
  <si>
    <t>默认填充当前登录人姓名</t>
  </si>
  <si>
    <t>只读，不属于下拉字典</t>
  </si>
  <si>
    <t>预约渠道类型</t>
  </si>
  <si>
    <t>固定下拉</t>
  </si>
  <si>
    <t>1 / 2 / 3</t>
  </si>
  <si>
    <t>BD / 公共 / 无</t>
  </si>
  <si>
    <t>固定值，无需搜索</t>
  </si>
  <si>
    <t>控制 BD 字段是否可选</t>
  </si>
  <si>
    <t>后端固定值</t>
  </si>
  <si>
    <t>BD</t>
  </si>
  <si>
    <t>dim_bdyh</t>
  </si>
  <si>
    <t>userid_</t>
  </si>
  <si>
    <t>CAPTION_</t>
  </si>
  <si>
    <t>userid_、CAPTION_ 模糊匹配</t>
  </si>
  <si>
    <t>类型为 3 时自动填充 无</t>
  </si>
  <si>
    <t>就诊人信息</t>
  </si>
  <si>
    <t>证件类型</t>
  </si>
  <si>
    <t>与展示值相同</t>
  </si>
  <si>
    <t>身份证、护照、军人证、儿童身份证、港澳居民通行证、台湾居民通行证、外国人居留证、其他</t>
  </si>
  <si>
    <t>就诊人性别</t>
  </si>
  <si>
    <t>前端固定值</t>
  </si>
  <si>
    <t>男 / 女</t>
  </si>
  <si>
    <t>订单医院信息</t>
  </si>
  <si>
    <t>医院</t>
  </si>
  <si>
    <t>dim_hy_yywh</t>
  </si>
  <si>
    <t>清空医院地址、科室、内对一级、内对二级、医生、专家级别</t>
  </si>
  <si>
    <t>医院地址</t>
  </si>
  <si>
    <t>dim_yydz_20240307</t>
  </si>
  <si>
    <t>DZ_ID</t>
  </si>
  <si>
    <t>ADDRESS</t>
  </si>
  <si>
    <t>ADDRESS 模糊匹配</t>
  </si>
  <si>
    <t>医院 id</t>
  </si>
  <si>
    <t>科室</t>
  </si>
  <si>
    <t>dim_hy_yy_ks</t>
  </si>
  <si>
    <t>ID</t>
  </si>
  <si>
    <t>内对一级=dim_hy_kswh.name（ksdl=id）；内对二级=dim_hy_xfks.name（ksxf=id）</t>
  </si>
  <si>
    <t>医生</t>
  </si>
  <si>
    <t>dim_hy_ys</t>
  </si>
  <si>
    <t>非 WXSYSXM 医生自动带出专家级别=ZC</t>
  </si>
  <si>
    <t>专家级别</t>
  </si>
  <si>
    <t>条件下拉或只读输入框</t>
  </si>
  <si>
    <t>后端固定字典 或 dim_hy_ys</t>
  </si>
  <si>
    <t>与展示值相同 或 ZC</t>
  </si>
  <si>
    <t>知名专家、主任医师、副主任医师、主治医师、住院医师 或 ZC</t>
  </si>
  <si>
    <t>固定专家级别按名称搜索</t>
  </si>
  <si>
    <t>医生 id</t>
  </si>
  <si>
    <t>非特殊医生自动显示 ZC</t>
  </si>
  <si>
    <t>陪诊信息</t>
  </si>
  <si>
    <t>服务日期</t>
  </si>
  <si>
    <t>日期选择器</t>
  </si>
  <si>
    <t>日期值</t>
  </si>
  <si>
    <t>YYYY-MM-DD</t>
  </si>
  <si>
    <t>陪诊人员</t>
  </si>
  <si>
    <t>dim_hy_pzr</t>
  </si>
  <si>
    <t>陪诊人类型=pzrlx；默认电话=sj；所在地区=省名-市名</t>
  </si>
  <si>
    <t>陪诊人类型</t>
  </si>
  <si>
    <t>pzrlx</t>
  </si>
  <si>
    <t>默认电话</t>
  </si>
  <si>
    <t>sj</t>
  </si>
  <si>
    <t>所在地区</t>
  </si>
  <si>
    <t>dim_hy_pzr + DIM_CSLB</t>
  </si>
  <si>
    <t>sf / cs</t>
  </si>
  <si>
    <t>S_NAME + - + X_NAME</t>
  </si>
  <si>
    <t>拼接省名-市名</t>
  </si>
  <si>
    <t>挂号费及医保信息</t>
  </si>
  <si>
    <t>是否垫付</t>
  </si>
  <si>
    <t>0 / 1</t>
  </si>
  <si>
    <t>否 / 是</t>
  </si>
  <si>
    <t>医保类型</t>
  </si>
  <si>
    <t>当前未配置字典来源</t>
  </si>
  <si>
    <t>联动规则</t>
  </si>
  <si>
    <t>触发字段</t>
  </si>
  <si>
    <t>触发条件</t>
  </si>
  <si>
    <t>自动处理</t>
  </si>
  <si>
    <t>规则说明</t>
  </si>
  <si>
    <t>切换渠道</t>
  </si>
  <si>
    <t>清空 B端渠道服务项目、内部一级、内部二级</t>
  </si>
  <si>
    <t>服务项目必须重新按新渠道筛选</t>
  </si>
  <si>
    <t>选择其他服务项目</t>
  </si>
  <si>
    <t>内部一级、内部二级、订单金额自动更新</t>
  </si>
  <si>
    <t>订单金额取 CPJG，金额修改取消勾选并只读</t>
  </si>
  <si>
    <t>仍为初始化服务项目</t>
  </si>
  <si>
    <t>订单金额保持当前值</t>
  </si>
  <si>
    <t>不覆盖原金额</t>
  </si>
  <si>
    <t>先切换其他项目后再切回初始化项目</t>
  </si>
  <si>
    <t>订单金额恢复初始化金额</t>
  </si>
  <si>
    <t>金额继续只读</t>
  </si>
  <si>
    <t>已取消 或 无责取消</t>
  </si>
  <si>
    <t>订单金额=0，金额修改禁用</t>
  </si>
  <si>
    <t>取消状态优先于服务项目价格规则</t>
  </si>
  <si>
    <t>选择 3 无</t>
  </si>
  <si>
    <t>BD=无，BD 禁用</t>
  </si>
  <si>
    <t>只读输入框展示</t>
  </si>
  <si>
    <t>选择 1 BD 或 2 公共</t>
  </si>
  <si>
    <t>BD 可搜索选择</t>
  </si>
  <si>
    <t>若原值为 无 则清空</t>
  </si>
  <si>
    <t>切换医院</t>
  </si>
  <si>
    <t>清空地址、科室、内对一级、内对二级、医生、专家级别</t>
  </si>
  <si>
    <t>地址、科室、医生重新按医院过滤</t>
  </si>
  <si>
    <t>选择科室</t>
  </si>
  <si>
    <t>回填内对一级、内对二级</t>
  </si>
  <si>
    <t>两字段均只读</t>
  </si>
  <si>
    <t>id 末尾为 WXSYSXM</t>
  </si>
  <si>
    <t>专家级别使用后端固定可搜索下拉</t>
  </si>
  <si>
    <t>可选 5 个固定专家级别</t>
  </si>
  <si>
    <t>其他医生</t>
  </si>
  <si>
    <t>专家级别=dim_hy_ys.ZC</t>
  </si>
  <si>
    <t>专家级别只读</t>
  </si>
  <si>
    <t>选择陪诊人员</t>
  </si>
  <si>
    <t>回填陪诊人类型、默认电话、所在地区</t>
  </si>
  <si>
    <t>三项字段均只读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</si>
</sst>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Arial"/>
      <charset val="134"/>
    </font>
    <font>
      <b/>
      <sz val="16"/>
      <color rgb="FF111827"/>
      <name val="Arial"/>
      <charset val="134"/>
    </font>
    <font>
      <i/>
      <sz val="10"/>
      <color rgb="FF4B5563"/>
      <name val="Arial"/>
      <charset val="134"/>
    </font>
    <font>
      <sz val="10"/>
      <color rgb="FF1F2937"/>
      <name val="Arial"/>
      <charset val="134"/>
    </font>
    <font>
      <b/>
      <sz val="10"/>
      <color rgb="FFFFFFFF"/>
      <name val="Arial"/>
      <charset val="134"/>
    </font>
    <font>
      <b/>
      <sz val="12"/>
      <color rgb="FF1F293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0" fillId="0" borderId="0" xfId="49" applyAlignment="1">
      <alignment vertical="center"/>
    </xf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/>
    <xf numFmtId="0" fontId="4" fillId="2" borderId="1" xfId="49" applyNumberFormat="1" applyFont="1" applyFill="1" applyBorder="1" applyAlignment="1">
      <alignment horizontal="center" vertical="center" wrapText="1"/>
    </xf>
    <xf numFmtId="0" fontId="3" fillId="3" borderId="2" xfId="49" applyNumberFormat="1" applyFont="1" applyFill="1" applyBorder="1" applyAlignment="1">
      <alignment vertical="center" wrapText="1"/>
    </xf>
    <xf numFmtId="0" fontId="3" fillId="0" borderId="2" xfId="49" applyNumberFormat="1" applyFont="1" applyFill="1" applyBorder="1" applyAlignment="1">
      <alignment vertical="center" wrapText="1"/>
    </xf>
    <xf numFmtId="0" fontId="5" fillId="4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6">
    <dxf>
      <font>
        <b val="1"/>
        <color rgb="FF087E5D"/>
      </font>
      <fill>
        <patternFill patternType="solid">
          <bgColor rgb="FFDDF8F3"/>
        </patternFill>
      </fill>
    </dxf>
    <dxf>
      <font>
        <b val="1"/>
        <color rgb="FF3258CD"/>
      </font>
      <fill>
        <patternFill patternType="solid">
          <bgColor rgb="FFE7EEFF"/>
        </patternFill>
      </fill>
    </dxf>
    <dxf>
      <font>
        <b val="1"/>
        <color rgb="FFC23647"/>
      </font>
      <fill>
        <patternFill patternType="solid">
          <bgColor rgb="FFFFE3EA"/>
        </patternFill>
      </fill>
    </dxf>
    <dxf>
      <font>
        <color rgb="FF7745C3"/>
      </font>
      <fill>
        <patternFill patternType="solid">
          <bgColor rgb="FFF1E9FF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ill>
        <patternFill patternType="solid">
          <bgColor rgb="FF00BFA6"/>
        </patternFill>
      </fill>
    </dxf>
    <dxf>
      <fill>
        <patternFill patternType="solid">
          <bgColor rgb="FF4D7CFE"/>
        </patternFill>
      </fill>
    </dxf>
    <dxf>
      <fill>
        <patternFill patternType="solid">
          <bgColor rgb="FFFF6675"/>
        </patternFill>
      </fill>
    </dxf>
    <dxf>
      <fill>
        <patternFill patternType="solid">
          <bgColor rgb="FFA977F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2"/>
  <sheetViews>
    <sheetView showGridLines="0" tabSelected="1" workbookViewId="0">
      <pane ySplit="4" topLeftCell="A5" activePane="bottomLeft" state="frozen"/>
      <selection/>
      <selection pane="bottomLeft" activeCell="D9" sqref="D9"/>
    </sheetView>
  </sheetViews>
  <sheetFormatPr defaultColWidth="8.83333333333333" defaultRowHeight="14"/>
  <cols>
    <col min="1" max="1" width="15" style="1" customWidth="1"/>
    <col min="2" max="2" width="20" style="1" customWidth="1"/>
    <col min="3" max="3" width="18" style="1" customWidth="1"/>
    <col min="4" max="4" width="24" style="1" customWidth="1"/>
    <col min="5" max="5" width="16" style="1" customWidth="1"/>
    <col min="6" max="6" width="31" style="1" customWidth="1"/>
    <col min="7" max="7" width="23" style="1" customWidth="1"/>
    <col min="8" max="8" width="18" style="1" customWidth="1"/>
    <col min="9" max="9" width="28" style="1" customWidth="1"/>
    <col min="10" max="10" width="44" style="1" customWidth="1"/>
    <col min="11" max="11" width="30" style="1" customWidth="1"/>
    <col min="12" max="30" width="10" style="1" customWidth="1"/>
    <col min="31" max="16384" width="8.83333333333333" style="1"/>
  </cols>
  <sheetData>
    <row r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4" customHeight="1" spans="1:3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ht="34" customHeight="1" spans="1:30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ht="54" customHeight="1" spans="1:30">
      <c r="A5" s="6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17</v>
      </c>
      <c r="G5" s="6" t="s">
        <v>17</v>
      </c>
      <c r="H5" s="6" t="s">
        <v>17</v>
      </c>
      <c r="I5" s="6" t="s">
        <v>18</v>
      </c>
      <c r="J5" s="6" t="s">
        <v>19</v>
      </c>
      <c r="K5" s="6" t="s">
        <v>20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 ht="54" customHeight="1" spans="1:30">
      <c r="A6" s="7" t="s">
        <v>13</v>
      </c>
      <c r="B6" s="7" t="s">
        <v>21</v>
      </c>
      <c r="C6" s="7" t="s">
        <v>22</v>
      </c>
      <c r="D6" s="7" t="s">
        <v>23</v>
      </c>
      <c r="E6" s="7" t="s">
        <v>24</v>
      </c>
      <c r="F6" s="7" t="s">
        <v>25</v>
      </c>
      <c r="G6" s="7" t="s">
        <v>26</v>
      </c>
      <c r="H6" s="7" t="s">
        <v>27</v>
      </c>
      <c r="I6" s="7" t="s">
        <v>27</v>
      </c>
      <c r="J6" s="7" t="s">
        <v>28</v>
      </c>
      <c r="K6" s="7" t="s">
        <v>29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 ht="54" customHeight="1" spans="1:30">
      <c r="A7" s="6" t="s">
        <v>13</v>
      </c>
      <c r="B7" s="6" t="s">
        <v>30</v>
      </c>
      <c r="C7" s="6" t="s">
        <v>22</v>
      </c>
      <c r="D7" s="6" t="s">
        <v>31</v>
      </c>
      <c r="E7" s="6" t="s">
        <v>24</v>
      </c>
      <c r="F7" s="6" t="s">
        <v>25</v>
      </c>
      <c r="G7" s="6" t="s">
        <v>32</v>
      </c>
      <c r="H7" s="6" t="s">
        <v>33</v>
      </c>
      <c r="I7" s="6" t="s">
        <v>34</v>
      </c>
      <c r="J7" s="6" t="s">
        <v>35</v>
      </c>
      <c r="K7" s="6" t="s">
        <v>36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 ht="54" customHeight="1" spans="1:30">
      <c r="A8" s="7" t="s">
        <v>13</v>
      </c>
      <c r="B8" s="7" t="s">
        <v>37</v>
      </c>
      <c r="C8" s="7" t="s">
        <v>38</v>
      </c>
      <c r="D8" s="7" t="s">
        <v>39</v>
      </c>
      <c r="E8" s="7" t="s">
        <v>40</v>
      </c>
      <c r="F8" s="7" t="s">
        <v>41</v>
      </c>
      <c r="G8" s="7" t="s">
        <v>42</v>
      </c>
      <c r="H8" s="7" t="s">
        <v>27</v>
      </c>
      <c r="I8" s="7" t="s">
        <v>27</v>
      </c>
      <c r="J8" s="7" t="s">
        <v>43</v>
      </c>
      <c r="K8" s="7" t="s">
        <v>44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 ht="54" customHeight="1" spans="1:30">
      <c r="A9" s="6" t="s">
        <v>13</v>
      </c>
      <c r="B9" s="6" t="s">
        <v>45</v>
      </c>
      <c r="C9" s="6" t="s">
        <v>46</v>
      </c>
      <c r="D9" s="6" t="s">
        <v>16</v>
      </c>
      <c r="E9" s="6" t="s">
        <v>47</v>
      </c>
      <c r="F9" s="6" t="s">
        <v>48</v>
      </c>
      <c r="G9" s="6" t="s">
        <v>49</v>
      </c>
      <c r="H9" s="6" t="s">
        <v>27</v>
      </c>
      <c r="I9" s="6" t="s">
        <v>27</v>
      </c>
      <c r="J9" s="6" t="s">
        <v>50</v>
      </c>
      <c r="K9" s="6" t="s">
        <v>51</v>
      </c>
      <c r="L9" t="e">
        <f t="shared" ref="L9:AD9" si="0">K9+7</f>
        <v>#VALUE!</v>
      </c>
      <c r="M9" t="e">
        <f t="shared" si="0"/>
        <v>#VALUE!</v>
      </c>
      <c r="N9" t="e">
        <f t="shared" si="0"/>
        <v>#VALUE!</v>
      </c>
      <c r="O9" t="e">
        <f t="shared" si="0"/>
        <v>#VALUE!</v>
      </c>
      <c r="P9" t="e">
        <f t="shared" si="0"/>
        <v>#VALUE!</v>
      </c>
      <c r="Q9" t="e">
        <f t="shared" si="0"/>
        <v>#VALUE!</v>
      </c>
      <c r="R9" t="e">
        <f t="shared" si="0"/>
        <v>#VALUE!</v>
      </c>
      <c r="S9" t="e">
        <f t="shared" si="0"/>
        <v>#VALUE!</v>
      </c>
      <c r="T9" t="e">
        <f t="shared" si="0"/>
        <v>#VALUE!</v>
      </c>
      <c r="U9" t="e">
        <f t="shared" si="0"/>
        <v>#VALUE!</v>
      </c>
      <c r="V9" t="e">
        <f t="shared" si="0"/>
        <v>#VALUE!</v>
      </c>
      <c r="W9" t="e">
        <f t="shared" si="0"/>
        <v>#VALUE!</v>
      </c>
      <c r="X9" t="e">
        <f t="shared" si="0"/>
        <v>#VALUE!</v>
      </c>
      <c r="Y9" t="e">
        <f t="shared" si="0"/>
        <v>#VALUE!</v>
      </c>
      <c r="Z9" t="e">
        <f t="shared" si="0"/>
        <v>#VALUE!</v>
      </c>
      <c r="AA9" t="e">
        <f t="shared" si="0"/>
        <v>#VALUE!</v>
      </c>
      <c r="AB9" t="e">
        <f t="shared" si="0"/>
        <v>#VALUE!</v>
      </c>
      <c r="AC9" t="e">
        <f t="shared" si="0"/>
        <v>#VALUE!</v>
      </c>
      <c r="AD9" t="e">
        <f t="shared" si="0"/>
        <v>#VALUE!</v>
      </c>
    </row>
    <row r="10" ht="54" customHeight="1" spans="1:30">
      <c r="A10" s="7" t="s">
        <v>13</v>
      </c>
      <c r="B10" s="7" t="s">
        <v>52</v>
      </c>
      <c r="C10" s="7" t="s">
        <v>22</v>
      </c>
      <c r="D10" s="7" t="s">
        <v>53</v>
      </c>
      <c r="E10" s="7" t="s">
        <v>54</v>
      </c>
      <c r="F10" s="7" t="s">
        <v>55</v>
      </c>
      <c r="G10" s="7" t="s">
        <v>56</v>
      </c>
      <c r="H10" s="7" t="s">
        <v>45</v>
      </c>
      <c r="I10" s="7" t="e">
        <f t="shared" ref="I10:I39" si="1">IF(OR(G10="",H10="",H10&lt;G10),"",H10-G10+1)</f>
        <v>#VALUE!</v>
      </c>
      <c r="J10" s="7" t="s">
        <v>57</v>
      </c>
      <c r="K10" s="7" t="e">
        <f t="shared" ref="K10:T19" si="2">IF(OR($G10="",$H10="",$H10&lt;$G10),"",IF(AND(K$9&lt;=$H10,K$9+6&gt;=$G10),1,""))</f>
        <v>#VALUE!</v>
      </c>
      <c r="L10" t="e">
        <f t="shared" si="2"/>
        <v>#VALUE!</v>
      </c>
      <c r="M10" t="e">
        <f t="shared" si="2"/>
        <v>#VALUE!</v>
      </c>
      <c r="N10" t="e">
        <f t="shared" si="2"/>
        <v>#VALUE!</v>
      </c>
      <c r="O10" t="e">
        <f t="shared" si="2"/>
        <v>#VALUE!</v>
      </c>
      <c r="P10" t="e">
        <f t="shared" si="2"/>
        <v>#VALUE!</v>
      </c>
      <c r="Q10" t="e">
        <f t="shared" si="2"/>
        <v>#VALUE!</v>
      </c>
      <c r="R10" t="e">
        <f t="shared" si="2"/>
        <v>#VALUE!</v>
      </c>
      <c r="S10" t="e">
        <f t="shared" si="2"/>
        <v>#VALUE!</v>
      </c>
      <c r="T10" t="e">
        <f t="shared" si="2"/>
        <v>#VALUE!</v>
      </c>
      <c r="U10" t="e">
        <f t="shared" ref="U10:AD19" si="3">IF(OR($G10="",$H10="",$H10&lt;$G10),"",IF(AND(U$9&lt;=$H10,U$9+6&gt;=$G10),1,""))</f>
        <v>#VALUE!</v>
      </c>
      <c r="V10" t="e">
        <f t="shared" si="3"/>
        <v>#VALUE!</v>
      </c>
      <c r="W10" t="e">
        <f t="shared" si="3"/>
        <v>#VALUE!</v>
      </c>
      <c r="X10" t="e">
        <f t="shared" si="3"/>
        <v>#VALUE!</v>
      </c>
      <c r="Y10" t="e">
        <f t="shared" si="3"/>
        <v>#VALUE!</v>
      </c>
      <c r="Z10" t="e">
        <f t="shared" si="3"/>
        <v>#VALUE!</v>
      </c>
      <c r="AA10" t="e">
        <f t="shared" si="3"/>
        <v>#VALUE!</v>
      </c>
      <c r="AB10" t="e">
        <f t="shared" si="3"/>
        <v>#VALUE!</v>
      </c>
      <c r="AC10" t="e">
        <f t="shared" si="3"/>
        <v>#VALUE!</v>
      </c>
      <c r="AD10" t="e">
        <f t="shared" si="3"/>
        <v>#VALUE!</v>
      </c>
    </row>
    <row r="11" ht="54" customHeight="1" spans="1:30">
      <c r="A11" s="6" t="s">
        <v>58</v>
      </c>
      <c r="B11" s="6" t="s">
        <v>59</v>
      </c>
      <c r="C11" s="6" t="s">
        <v>46</v>
      </c>
      <c r="D11" s="6" t="s">
        <v>16</v>
      </c>
      <c r="E11" s="6" t="s">
        <v>60</v>
      </c>
      <c r="F11" s="6" t="s">
        <v>61</v>
      </c>
      <c r="G11" s="6" t="s">
        <v>49</v>
      </c>
      <c r="H11" s="6" t="s">
        <v>27</v>
      </c>
      <c r="I11" s="6" t="e">
        <f t="shared" si="1"/>
        <v>#VALUE!</v>
      </c>
      <c r="J11" s="6" t="s">
        <v>27</v>
      </c>
      <c r="K11" s="6" t="e">
        <f t="shared" si="2"/>
        <v>#VALUE!</v>
      </c>
      <c r="L11" t="e">
        <f t="shared" si="2"/>
        <v>#VALUE!</v>
      </c>
      <c r="M11" t="e">
        <f t="shared" si="2"/>
        <v>#VALUE!</v>
      </c>
      <c r="N11" t="e">
        <f t="shared" si="2"/>
        <v>#VALUE!</v>
      </c>
      <c r="O11" t="e">
        <f t="shared" si="2"/>
        <v>#VALUE!</v>
      </c>
      <c r="P11" t="e">
        <f t="shared" si="2"/>
        <v>#VALUE!</v>
      </c>
      <c r="Q11" t="e">
        <f t="shared" si="2"/>
        <v>#VALUE!</v>
      </c>
      <c r="R11" t="e">
        <f t="shared" si="2"/>
        <v>#VALUE!</v>
      </c>
      <c r="S11" t="e">
        <f t="shared" si="2"/>
        <v>#VALUE!</v>
      </c>
      <c r="T11" t="e">
        <f t="shared" si="2"/>
        <v>#VALUE!</v>
      </c>
      <c r="U11" t="e">
        <f t="shared" si="3"/>
        <v>#VALUE!</v>
      </c>
      <c r="V11" t="e">
        <f t="shared" si="3"/>
        <v>#VALUE!</v>
      </c>
      <c r="W11" t="e">
        <f t="shared" si="3"/>
        <v>#VALUE!</v>
      </c>
      <c r="X11" t="e">
        <f t="shared" si="3"/>
        <v>#VALUE!</v>
      </c>
      <c r="Y11" t="e">
        <f t="shared" si="3"/>
        <v>#VALUE!</v>
      </c>
      <c r="Z11" t="e">
        <f t="shared" si="3"/>
        <v>#VALUE!</v>
      </c>
      <c r="AA11" t="e">
        <f t="shared" si="3"/>
        <v>#VALUE!</v>
      </c>
      <c r="AB11" t="e">
        <f t="shared" si="3"/>
        <v>#VALUE!</v>
      </c>
      <c r="AC11" t="e">
        <f t="shared" si="3"/>
        <v>#VALUE!</v>
      </c>
      <c r="AD11" t="e">
        <f t="shared" si="3"/>
        <v>#VALUE!</v>
      </c>
    </row>
    <row r="12" ht="54" customHeight="1" spans="1:30">
      <c r="A12" s="7" t="s">
        <v>58</v>
      </c>
      <c r="B12" s="7" t="s">
        <v>62</v>
      </c>
      <c r="C12" s="7" t="s">
        <v>46</v>
      </c>
      <c r="D12" s="7" t="s">
        <v>63</v>
      </c>
      <c r="E12" s="7" t="s">
        <v>64</v>
      </c>
      <c r="F12" s="7" t="s">
        <v>64</v>
      </c>
      <c r="G12" s="7" t="s">
        <v>49</v>
      </c>
      <c r="H12" s="7" t="s">
        <v>27</v>
      </c>
      <c r="I12" s="7" t="e">
        <f t="shared" si="1"/>
        <v>#VALUE!</v>
      </c>
      <c r="J12" s="7" t="s">
        <v>27</v>
      </c>
      <c r="K12" s="7" t="e">
        <f t="shared" si="2"/>
        <v>#VALUE!</v>
      </c>
      <c r="L12" t="e">
        <f t="shared" si="2"/>
        <v>#VALUE!</v>
      </c>
      <c r="M12" t="e">
        <f t="shared" si="2"/>
        <v>#VALUE!</v>
      </c>
      <c r="N12" t="e">
        <f t="shared" si="2"/>
        <v>#VALUE!</v>
      </c>
      <c r="O12" t="e">
        <f t="shared" si="2"/>
        <v>#VALUE!</v>
      </c>
      <c r="P12" t="e">
        <f t="shared" si="2"/>
        <v>#VALUE!</v>
      </c>
      <c r="Q12" t="e">
        <f t="shared" si="2"/>
        <v>#VALUE!</v>
      </c>
      <c r="R12" t="e">
        <f t="shared" si="2"/>
        <v>#VALUE!</v>
      </c>
      <c r="S12" t="e">
        <f t="shared" si="2"/>
        <v>#VALUE!</v>
      </c>
      <c r="T12" t="e">
        <f t="shared" si="2"/>
        <v>#VALUE!</v>
      </c>
      <c r="U12" t="e">
        <f t="shared" si="3"/>
        <v>#VALUE!</v>
      </c>
      <c r="V12" t="e">
        <f t="shared" si="3"/>
        <v>#VALUE!</v>
      </c>
      <c r="W12" t="e">
        <f t="shared" si="3"/>
        <v>#VALUE!</v>
      </c>
      <c r="X12" t="e">
        <f t="shared" si="3"/>
        <v>#VALUE!</v>
      </c>
      <c r="Y12" t="e">
        <f t="shared" si="3"/>
        <v>#VALUE!</v>
      </c>
      <c r="Z12" t="e">
        <f t="shared" si="3"/>
        <v>#VALUE!</v>
      </c>
      <c r="AA12" t="e">
        <f t="shared" si="3"/>
        <v>#VALUE!</v>
      </c>
      <c r="AB12" t="e">
        <f t="shared" si="3"/>
        <v>#VALUE!</v>
      </c>
      <c r="AC12" t="e">
        <f t="shared" si="3"/>
        <v>#VALUE!</v>
      </c>
      <c r="AD12" t="e">
        <f t="shared" si="3"/>
        <v>#VALUE!</v>
      </c>
    </row>
    <row r="13" ht="54" customHeight="1" spans="1:30">
      <c r="A13" s="6" t="s">
        <v>65</v>
      </c>
      <c r="B13" s="6" t="s">
        <v>66</v>
      </c>
      <c r="C13" s="6" t="s">
        <v>22</v>
      </c>
      <c r="D13" s="6" t="s">
        <v>67</v>
      </c>
      <c r="E13" s="6" t="s">
        <v>24</v>
      </c>
      <c r="F13" s="6" t="s">
        <v>25</v>
      </c>
      <c r="G13" s="6" t="s">
        <v>26</v>
      </c>
      <c r="H13" s="6" t="s">
        <v>27</v>
      </c>
      <c r="I13" s="6" t="e">
        <f t="shared" si="1"/>
        <v>#VALUE!</v>
      </c>
      <c r="J13" s="6" t="s">
        <v>68</v>
      </c>
      <c r="K13" s="6" t="e">
        <f t="shared" si="2"/>
        <v>#VALUE!</v>
      </c>
      <c r="L13" t="e">
        <f t="shared" si="2"/>
        <v>#VALUE!</v>
      </c>
      <c r="M13" t="e">
        <f t="shared" si="2"/>
        <v>#VALUE!</v>
      </c>
      <c r="N13" t="e">
        <f t="shared" si="2"/>
        <v>#VALUE!</v>
      </c>
      <c r="O13" t="e">
        <f t="shared" si="2"/>
        <v>#VALUE!</v>
      </c>
      <c r="P13" t="e">
        <f t="shared" si="2"/>
        <v>#VALUE!</v>
      </c>
      <c r="Q13" t="e">
        <f t="shared" si="2"/>
        <v>#VALUE!</v>
      </c>
      <c r="R13" t="e">
        <f t="shared" si="2"/>
        <v>#VALUE!</v>
      </c>
      <c r="S13" t="e">
        <f t="shared" si="2"/>
        <v>#VALUE!</v>
      </c>
      <c r="T13" t="e">
        <f t="shared" si="2"/>
        <v>#VALUE!</v>
      </c>
      <c r="U13" t="e">
        <f t="shared" si="3"/>
        <v>#VALUE!</v>
      </c>
      <c r="V13" t="e">
        <f t="shared" si="3"/>
        <v>#VALUE!</v>
      </c>
      <c r="W13" t="e">
        <f t="shared" si="3"/>
        <v>#VALUE!</v>
      </c>
      <c r="X13" t="e">
        <f t="shared" si="3"/>
        <v>#VALUE!</v>
      </c>
      <c r="Y13" t="e">
        <f t="shared" si="3"/>
        <v>#VALUE!</v>
      </c>
      <c r="Z13" t="e">
        <f t="shared" si="3"/>
        <v>#VALUE!</v>
      </c>
      <c r="AA13" t="e">
        <f t="shared" si="3"/>
        <v>#VALUE!</v>
      </c>
      <c r="AB13" t="e">
        <f t="shared" si="3"/>
        <v>#VALUE!</v>
      </c>
      <c r="AC13" t="e">
        <f t="shared" si="3"/>
        <v>#VALUE!</v>
      </c>
      <c r="AD13" t="e">
        <f t="shared" si="3"/>
        <v>#VALUE!</v>
      </c>
    </row>
    <row r="14" ht="54" customHeight="1" spans="1:30">
      <c r="A14" s="7" t="s">
        <v>65</v>
      </c>
      <c r="B14" s="7" t="s">
        <v>69</v>
      </c>
      <c r="C14" s="7" t="s">
        <v>22</v>
      </c>
      <c r="D14" s="7" t="s">
        <v>70</v>
      </c>
      <c r="E14" s="7" t="s">
        <v>71</v>
      </c>
      <c r="F14" s="7" t="s">
        <v>72</v>
      </c>
      <c r="G14" s="7" t="s">
        <v>73</v>
      </c>
      <c r="H14" s="7" t="s">
        <v>74</v>
      </c>
      <c r="I14" s="7" t="e">
        <f t="shared" si="1"/>
        <v>#VALUE!</v>
      </c>
      <c r="J14" s="7" t="s">
        <v>27</v>
      </c>
      <c r="K14" s="7" t="e">
        <f t="shared" si="2"/>
        <v>#VALUE!</v>
      </c>
      <c r="L14" t="e">
        <f t="shared" si="2"/>
        <v>#VALUE!</v>
      </c>
      <c r="M14" t="e">
        <f t="shared" si="2"/>
        <v>#VALUE!</v>
      </c>
      <c r="N14" t="e">
        <f t="shared" si="2"/>
        <v>#VALUE!</v>
      </c>
      <c r="O14" t="e">
        <f t="shared" si="2"/>
        <v>#VALUE!</v>
      </c>
      <c r="P14" t="e">
        <f t="shared" si="2"/>
        <v>#VALUE!</v>
      </c>
      <c r="Q14" t="e">
        <f t="shared" si="2"/>
        <v>#VALUE!</v>
      </c>
      <c r="R14" t="e">
        <f t="shared" si="2"/>
        <v>#VALUE!</v>
      </c>
      <c r="S14" t="e">
        <f t="shared" si="2"/>
        <v>#VALUE!</v>
      </c>
      <c r="T14" t="e">
        <f t="shared" si="2"/>
        <v>#VALUE!</v>
      </c>
      <c r="U14" t="e">
        <f t="shared" si="3"/>
        <v>#VALUE!</v>
      </c>
      <c r="V14" t="e">
        <f t="shared" si="3"/>
        <v>#VALUE!</v>
      </c>
      <c r="W14" t="e">
        <f t="shared" si="3"/>
        <v>#VALUE!</v>
      </c>
      <c r="X14" t="e">
        <f t="shared" si="3"/>
        <v>#VALUE!</v>
      </c>
      <c r="Y14" t="e">
        <f t="shared" si="3"/>
        <v>#VALUE!</v>
      </c>
      <c r="Z14" t="e">
        <f t="shared" si="3"/>
        <v>#VALUE!</v>
      </c>
      <c r="AA14" t="e">
        <f t="shared" si="3"/>
        <v>#VALUE!</v>
      </c>
      <c r="AB14" t="e">
        <f t="shared" si="3"/>
        <v>#VALUE!</v>
      </c>
      <c r="AC14" t="e">
        <f t="shared" si="3"/>
        <v>#VALUE!</v>
      </c>
      <c r="AD14" t="e">
        <f t="shared" si="3"/>
        <v>#VALUE!</v>
      </c>
    </row>
    <row r="15" ht="54" customHeight="1" spans="1:30">
      <c r="A15" s="6" t="s">
        <v>65</v>
      </c>
      <c r="B15" s="6" t="s">
        <v>75</v>
      </c>
      <c r="C15" s="6" t="s">
        <v>22</v>
      </c>
      <c r="D15" s="6" t="s">
        <v>76</v>
      </c>
      <c r="E15" s="6" t="s">
        <v>77</v>
      </c>
      <c r="F15" s="6" t="s">
        <v>25</v>
      </c>
      <c r="G15" s="6" t="s">
        <v>32</v>
      </c>
      <c r="H15" s="6" t="s">
        <v>74</v>
      </c>
      <c r="I15" s="6" t="e">
        <f t="shared" si="1"/>
        <v>#VALUE!</v>
      </c>
      <c r="J15" s="6" t="s">
        <v>78</v>
      </c>
      <c r="K15" s="6" t="e">
        <f t="shared" si="2"/>
        <v>#VALUE!</v>
      </c>
      <c r="L15" t="e">
        <f t="shared" si="2"/>
        <v>#VALUE!</v>
      </c>
      <c r="M15" t="e">
        <f t="shared" si="2"/>
        <v>#VALUE!</v>
      </c>
      <c r="N15" t="e">
        <f t="shared" si="2"/>
        <v>#VALUE!</v>
      </c>
      <c r="O15" t="e">
        <f t="shared" si="2"/>
        <v>#VALUE!</v>
      </c>
      <c r="P15" t="e">
        <f t="shared" si="2"/>
        <v>#VALUE!</v>
      </c>
      <c r="Q15" t="e">
        <f t="shared" si="2"/>
        <v>#VALUE!</v>
      </c>
      <c r="R15" t="e">
        <f t="shared" si="2"/>
        <v>#VALUE!</v>
      </c>
      <c r="S15" t="e">
        <f t="shared" si="2"/>
        <v>#VALUE!</v>
      </c>
      <c r="T15" t="e">
        <f t="shared" si="2"/>
        <v>#VALUE!</v>
      </c>
      <c r="U15" t="e">
        <f t="shared" si="3"/>
        <v>#VALUE!</v>
      </c>
      <c r="V15" t="e">
        <f t="shared" si="3"/>
        <v>#VALUE!</v>
      </c>
      <c r="W15" t="e">
        <f t="shared" si="3"/>
        <v>#VALUE!</v>
      </c>
      <c r="X15" t="e">
        <f t="shared" si="3"/>
        <v>#VALUE!</v>
      </c>
      <c r="Y15" t="e">
        <f t="shared" si="3"/>
        <v>#VALUE!</v>
      </c>
      <c r="Z15" t="e">
        <f t="shared" si="3"/>
        <v>#VALUE!</v>
      </c>
      <c r="AA15" t="e">
        <f t="shared" si="3"/>
        <v>#VALUE!</v>
      </c>
      <c r="AB15" t="e">
        <f t="shared" si="3"/>
        <v>#VALUE!</v>
      </c>
      <c r="AC15" t="e">
        <f t="shared" si="3"/>
        <v>#VALUE!</v>
      </c>
      <c r="AD15" t="e">
        <f t="shared" si="3"/>
        <v>#VALUE!</v>
      </c>
    </row>
    <row r="16" ht="54" customHeight="1" spans="1:30">
      <c r="A16" s="7" t="s">
        <v>65</v>
      </c>
      <c r="B16" s="7" t="s">
        <v>79</v>
      </c>
      <c r="C16" s="7" t="s">
        <v>22</v>
      </c>
      <c r="D16" s="7" t="s">
        <v>80</v>
      </c>
      <c r="E16" s="7" t="s">
        <v>77</v>
      </c>
      <c r="F16" s="7" t="s">
        <v>25</v>
      </c>
      <c r="G16" s="7" t="s">
        <v>32</v>
      </c>
      <c r="H16" s="7" t="s">
        <v>74</v>
      </c>
      <c r="I16" s="7" t="e">
        <f t="shared" si="1"/>
        <v>#VALUE!</v>
      </c>
      <c r="J16" s="7" t="s">
        <v>81</v>
      </c>
      <c r="K16" s="7" t="e">
        <f t="shared" si="2"/>
        <v>#VALUE!</v>
      </c>
      <c r="L16" t="e">
        <f t="shared" si="2"/>
        <v>#VALUE!</v>
      </c>
      <c r="M16" t="e">
        <f t="shared" si="2"/>
        <v>#VALUE!</v>
      </c>
      <c r="N16" t="e">
        <f t="shared" si="2"/>
        <v>#VALUE!</v>
      </c>
      <c r="O16" t="e">
        <f t="shared" si="2"/>
        <v>#VALUE!</v>
      </c>
      <c r="P16" t="e">
        <f t="shared" si="2"/>
        <v>#VALUE!</v>
      </c>
      <c r="Q16" t="e">
        <f t="shared" si="2"/>
        <v>#VALUE!</v>
      </c>
      <c r="R16" t="e">
        <f t="shared" si="2"/>
        <v>#VALUE!</v>
      </c>
      <c r="S16" t="e">
        <f t="shared" si="2"/>
        <v>#VALUE!</v>
      </c>
      <c r="T16" t="e">
        <f t="shared" si="2"/>
        <v>#VALUE!</v>
      </c>
      <c r="U16" t="e">
        <f t="shared" si="3"/>
        <v>#VALUE!</v>
      </c>
      <c r="V16" t="e">
        <f t="shared" si="3"/>
        <v>#VALUE!</v>
      </c>
      <c r="W16" t="e">
        <f t="shared" si="3"/>
        <v>#VALUE!</v>
      </c>
      <c r="X16" t="e">
        <f t="shared" si="3"/>
        <v>#VALUE!</v>
      </c>
      <c r="Y16" t="e">
        <f t="shared" si="3"/>
        <v>#VALUE!</v>
      </c>
      <c r="Z16" t="e">
        <f t="shared" si="3"/>
        <v>#VALUE!</v>
      </c>
      <c r="AA16" t="e">
        <f t="shared" si="3"/>
        <v>#VALUE!</v>
      </c>
      <c r="AB16" t="e">
        <f t="shared" si="3"/>
        <v>#VALUE!</v>
      </c>
      <c r="AC16" t="e">
        <f t="shared" si="3"/>
        <v>#VALUE!</v>
      </c>
      <c r="AD16" t="e">
        <f t="shared" si="3"/>
        <v>#VALUE!</v>
      </c>
    </row>
    <row r="17" ht="54" customHeight="1" spans="1:30">
      <c r="A17" s="6" t="s">
        <v>65</v>
      </c>
      <c r="B17" s="6" t="s">
        <v>82</v>
      </c>
      <c r="C17" s="6" t="s">
        <v>83</v>
      </c>
      <c r="D17" s="6" t="s">
        <v>84</v>
      </c>
      <c r="E17" s="6" t="s">
        <v>85</v>
      </c>
      <c r="F17" s="6" t="s">
        <v>86</v>
      </c>
      <c r="G17" s="6" t="s">
        <v>87</v>
      </c>
      <c r="H17" s="6" t="s">
        <v>88</v>
      </c>
      <c r="I17" s="6" t="e">
        <f t="shared" si="1"/>
        <v>#VALUE!</v>
      </c>
      <c r="J17" s="6" t="s">
        <v>89</v>
      </c>
      <c r="K17" s="6" t="e">
        <f t="shared" si="2"/>
        <v>#VALUE!</v>
      </c>
      <c r="L17" t="e">
        <f t="shared" si="2"/>
        <v>#VALUE!</v>
      </c>
      <c r="M17" t="e">
        <f t="shared" si="2"/>
        <v>#VALUE!</v>
      </c>
      <c r="N17" t="e">
        <f t="shared" si="2"/>
        <v>#VALUE!</v>
      </c>
      <c r="O17" t="e">
        <f t="shared" si="2"/>
        <v>#VALUE!</v>
      </c>
      <c r="P17" t="e">
        <f t="shared" si="2"/>
        <v>#VALUE!</v>
      </c>
      <c r="Q17" t="e">
        <f t="shared" si="2"/>
        <v>#VALUE!</v>
      </c>
      <c r="R17" t="e">
        <f t="shared" si="2"/>
        <v>#VALUE!</v>
      </c>
      <c r="S17" t="e">
        <f t="shared" si="2"/>
        <v>#VALUE!</v>
      </c>
      <c r="T17" t="e">
        <f t="shared" si="2"/>
        <v>#VALUE!</v>
      </c>
      <c r="U17" t="e">
        <f t="shared" si="3"/>
        <v>#VALUE!</v>
      </c>
      <c r="V17" t="e">
        <f t="shared" si="3"/>
        <v>#VALUE!</v>
      </c>
      <c r="W17" t="e">
        <f t="shared" si="3"/>
        <v>#VALUE!</v>
      </c>
      <c r="X17" t="e">
        <f t="shared" si="3"/>
        <v>#VALUE!</v>
      </c>
      <c r="Y17" t="e">
        <f t="shared" si="3"/>
        <v>#VALUE!</v>
      </c>
      <c r="Z17" t="e">
        <f t="shared" si="3"/>
        <v>#VALUE!</v>
      </c>
      <c r="AA17" t="e">
        <f t="shared" si="3"/>
        <v>#VALUE!</v>
      </c>
      <c r="AB17" t="e">
        <f t="shared" si="3"/>
        <v>#VALUE!</v>
      </c>
      <c r="AC17" t="e">
        <f t="shared" si="3"/>
        <v>#VALUE!</v>
      </c>
      <c r="AD17" t="e">
        <f t="shared" si="3"/>
        <v>#VALUE!</v>
      </c>
    </row>
    <row r="18" ht="54" customHeight="1" spans="1:30">
      <c r="A18" s="7" t="s">
        <v>90</v>
      </c>
      <c r="B18" s="7" t="s">
        <v>91</v>
      </c>
      <c r="C18" s="7" t="s">
        <v>92</v>
      </c>
      <c r="D18" s="7" t="s">
        <v>27</v>
      </c>
      <c r="E18" s="7" t="s">
        <v>93</v>
      </c>
      <c r="F18" s="7" t="s">
        <v>94</v>
      </c>
      <c r="G18" s="7" t="s">
        <v>42</v>
      </c>
      <c r="H18" s="7" t="s">
        <v>27</v>
      </c>
      <c r="I18" s="7" t="e">
        <f t="shared" si="1"/>
        <v>#VALUE!</v>
      </c>
      <c r="J18" s="7" t="s">
        <v>27</v>
      </c>
      <c r="K18" s="7" t="e">
        <f t="shared" si="2"/>
        <v>#VALUE!</v>
      </c>
      <c r="L18" t="e">
        <f t="shared" si="2"/>
        <v>#VALUE!</v>
      </c>
      <c r="M18" t="e">
        <f t="shared" si="2"/>
        <v>#VALUE!</v>
      </c>
      <c r="N18" t="e">
        <f t="shared" si="2"/>
        <v>#VALUE!</v>
      </c>
      <c r="O18" t="e">
        <f t="shared" si="2"/>
        <v>#VALUE!</v>
      </c>
      <c r="P18" t="e">
        <f t="shared" si="2"/>
        <v>#VALUE!</v>
      </c>
      <c r="Q18" t="e">
        <f t="shared" si="2"/>
        <v>#VALUE!</v>
      </c>
      <c r="R18" t="e">
        <f t="shared" si="2"/>
        <v>#VALUE!</v>
      </c>
      <c r="S18" t="e">
        <f t="shared" si="2"/>
        <v>#VALUE!</v>
      </c>
      <c r="T18" t="e">
        <f t="shared" si="2"/>
        <v>#VALUE!</v>
      </c>
      <c r="U18" t="e">
        <f t="shared" si="3"/>
        <v>#VALUE!</v>
      </c>
      <c r="V18" t="e">
        <f t="shared" si="3"/>
        <v>#VALUE!</v>
      </c>
      <c r="W18" t="e">
        <f t="shared" si="3"/>
        <v>#VALUE!</v>
      </c>
      <c r="X18" t="e">
        <f t="shared" si="3"/>
        <v>#VALUE!</v>
      </c>
      <c r="Y18" t="e">
        <f t="shared" si="3"/>
        <v>#VALUE!</v>
      </c>
      <c r="Z18" t="e">
        <f t="shared" si="3"/>
        <v>#VALUE!</v>
      </c>
      <c r="AA18" t="e">
        <f t="shared" si="3"/>
        <v>#VALUE!</v>
      </c>
      <c r="AB18" t="e">
        <f t="shared" si="3"/>
        <v>#VALUE!</v>
      </c>
      <c r="AC18" t="e">
        <f t="shared" si="3"/>
        <v>#VALUE!</v>
      </c>
      <c r="AD18" t="e">
        <f t="shared" si="3"/>
        <v>#VALUE!</v>
      </c>
    </row>
    <row r="19" ht="54" customHeight="1" spans="1:30">
      <c r="A19" s="6" t="s">
        <v>90</v>
      </c>
      <c r="B19" s="6" t="s">
        <v>95</v>
      </c>
      <c r="C19" s="6" t="s">
        <v>22</v>
      </c>
      <c r="D19" s="6" t="s">
        <v>96</v>
      </c>
      <c r="E19" s="6" t="s">
        <v>24</v>
      </c>
      <c r="F19" s="6" t="s">
        <v>25</v>
      </c>
      <c r="G19" s="6" t="s">
        <v>26</v>
      </c>
      <c r="H19" s="6" t="s">
        <v>27</v>
      </c>
      <c r="I19" s="6" t="e">
        <f t="shared" si="1"/>
        <v>#VALUE!</v>
      </c>
      <c r="J19" s="6" t="s">
        <v>97</v>
      </c>
      <c r="K19" s="6" t="e">
        <f t="shared" si="2"/>
        <v>#VALUE!</v>
      </c>
      <c r="L19" t="e">
        <f t="shared" si="2"/>
        <v>#VALUE!</v>
      </c>
      <c r="M19" t="e">
        <f t="shared" si="2"/>
        <v>#VALUE!</v>
      </c>
      <c r="N19" t="e">
        <f t="shared" si="2"/>
        <v>#VALUE!</v>
      </c>
      <c r="O19" t="e">
        <f t="shared" si="2"/>
        <v>#VALUE!</v>
      </c>
      <c r="P19" t="e">
        <f t="shared" si="2"/>
        <v>#VALUE!</v>
      </c>
      <c r="Q19" t="e">
        <f t="shared" si="2"/>
        <v>#VALUE!</v>
      </c>
      <c r="R19" t="e">
        <f t="shared" si="2"/>
        <v>#VALUE!</v>
      </c>
      <c r="S19" t="e">
        <f t="shared" si="2"/>
        <v>#VALUE!</v>
      </c>
      <c r="T19" t="e">
        <f t="shared" si="2"/>
        <v>#VALUE!</v>
      </c>
      <c r="U19" t="e">
        <f t="shared" si="3"/>
        <v>#VALUE!</v>
      </c>
      <c r="V19" t="e">
        <f t="shared" si="3"/>
        <v>#VALUE!</v>
      </c>
      <c r="W19" t="e">
        <f t="shared" si="3"/>
        <v>#VALUE!</v>
      </c>
      <c r="X19" t="e">
        <f t="shared" si="3"/>
        <v>#VALUE!</v>
      </c>
      <c r="Y19" t="e">
        <f t="shared" si="3"/>
        <v>#VALUE!</v>
      </c>
      <c r="Z19" t="e">
        <f t="shared" si="3"/>
        <v>#VALUE!</v>
      </c>
      <c r="AA19" t="e">
        <f t="shared" si="3"/>
        <v>#VALUE!</v>
      </c>
      <c r="AB19" t="e">
        <f t="shared" si="3"/>
        <v>#VALUE!</v>
      </c>
      <c r="AC19" t="e">
        <f t="shared" si="3"/>
        <v>#VALUE!</v>
      </c>
      <c r="AD19" t="e">
        <f t="shared" si="3"/>
        <v>#VALUE!</v>
      </c>
    </row>
    <row r="20" ht="54" customHeight="1" spans="1:30">
      <c r="A20" s="7" t="s">
        <v>90</v>
      </c>
      <c r="B20" s="7" t="s">
        <v>98</v>
      </c>
      <c r="C20" s="7" t="s">
        <v>38</v>
      </c>
      <c r="D20" s="7" t="s">
        <v>96</v>
      </c>
      <c r="E20" s="7" t="s">
        <v>99</v>
      </c>
      <c r="F20" s="7" t="s">
        <v>99</v>
      </c>
      <c r="G20" s="7" t="s">
        <v>42</v>
      </c>
      <c r="H20" s="7" t="s">
        <v>95</v>
      </c>
      <c r="I20" s="7" t="e">
        <f t="shared" si="1"/>
        <v>#VALUE!</v>
      </c>
      <c r="J20" s="7" t="s">
        <v>27</v>
      </c>
      <c r="K20" s="7" t="e">
        <f t="shared" ref="K20:T29" si="4">IF(OR($G20="",$H20="",$H20&lt;$G20),"",IF(AND(K$9&lt;=$H20,K$9+6&gt;=$G20),1,""))</f>
        <v>#VALUE!</v>
      </c>
      <c r="L20" t="e">
        <f t="shared" si="4"/>
        <v>#VALUE!</v>
      </c>
      <c r="M20" t="e">
        <f t="shared" si="4"/>
        <v>#VALUE!</v>
      </c>
      <c r="N20" t="e">
        <f t="shared" si="4"/>
        <v>#VALUE!</v>
      </c>
      <c r="O20" t="e">
        <f t="shared" si="4"/>
        <v>#VALUE!</v>
      </c>
      <c r="P20" t="e">
        <f t="shared" si="4"/>
        <v>#VALUE!</v>
      </c>
      <c r="Q20" t="e">
        <f t="shared" si="4"/>
        <v>#VALUE!</v>
      </c>
      <c r="R20" t="e">
        <f t="shared" si="4"/>
        <v>#VALUE!</v>
      </c>
      <c r="S20" t="e">
        <f t="shared" si="4"/>
        <v>#VALUE!</v>
      </c>
      <c r="T20" t="e">
        <f t="shared" si="4"/>
        <v>#VALUE!</v>
      </c>
      <c r="U20" t="e">
        <f t="shared" ref="U20:AD29" si="5">IF(OR($G20="",$H20="",$H20&lt;$G20),"",IF(AND(U$9&lt;=$H20,U$9+6&gt;=$G20),1,""))</f>
        <v>#VALUE!</v>
      </c>
      <c r="V20" t="e">
        <f t="shared" si="5"/>
        <v>#VALUE!</v>
      </c>
      <c r="W20" t="e">
        <f t="shared" si="5"/>
        <v>#VALUE!</v>
      </c>
      <c r="X20" t="e">
        <f t="shared" si="5"/>
        <v>#VALUE!</v>
      </c>
      <c r="Y20" t="e">
        <f t="shared" si="5"/>
        <v>#VALUE!</v>
      </c>
      <c r="Z20" t="e">
        <f t="shared" si="5"/>
        <v>#VALUE!</v>
      </c>
      <c r="AA20" t="e">
        <f t="shared" si="5"/>
        <v>#VALUE!</v>
      </c>
      <c r="AB20" t="e">
        <f t="shared" si="5"/>
        <v>#VALUE!</v>
      </c>
      <c r="AC20" t="e">
        <f t="shared" si="5"/>
        <v>#VALUE!</v>
      </c>
      <c r="AD20" t="e">
        <f t="shared" si="5"/>
        <v>#VALUE!</v>
      </c>
    </row>
    <row r="21" ht="54" customHeight="1" spans="1:30">
      <c r="A21" s="6" t="s">
        <v>90</v>
      </c>
      <c r="B21" s="6" t="s">
        <v>100</v>
      </c>
      <c r="C21" s="6" t="s">
        <v>38</v>
      </c>
      <c r="D21" s="6" t="s">
        <v>96</v>
      </c>
      <c r="E21" s="6" t="s">
        <v>101</v>
      </c>
      <c r="F21" s="6" t="s">
        <v>101</v>
      </c>
      <c r="G21" s="6" t="s">
        <v>42</v>
      </c>
      <c r="H21" s="6" t="s">
        <v>95</v>
      </c>
      <c r="I21" s="6" t="e">
        <f t="shared" si="1"/>
        <v>#VALUE!</v>
      </c>
      <c r="J21" s="6" t="s">
        <v>27</v>
      </c>
      <c r="K21" s="6" t="e">
        <f t="shared" si="4"/>
        <v>#VALUE!</v>
      </c>
      <c r="L21" t="e">
        <f t="shared" si="4"/>
        <v>#VALUE!</v>
      </c>
      <c r="M21" t="e">
        <f t="shared" si="4"/>
        <v>#VALUE!</v>
      </c>
      <c r="N21" t="e">
        <f t="shared" si="4"/>
        <v>#VALUE!</v>
      </c>
      <c r="O21" t="e">
        <f t="shared" si="4"/>
        <v>#VALUE!</v>
      </c>
      <c r="P21" t="e">
        <f t="shared" si="4"/>
        <v>#VALUE!</v>
      </c>
      <c r="Q21" t="e">
        <f t="shared" si="4"/>
        <v>#VALUE!</v>
      </c>
      <c r="R21" t="e">
        <f t="shared" si="4"/>
        <v>#VALUE!</v>
      </c>
      <c r="S21" t="e">
        <f t="shared" si="4"/>
        <v>#VALUE!</v>
      </c>
      <c r="T21" t="e">
        <f t="shared" si="4"/>
        <v>#VALUE!</v>
      </c>
      <c r="U21" t="e">
        <f t="shared" si="5"/>
        <v>#VALUE!</v>
      </c>
      <c r="V21" t="e">
        <f t="shared" si="5"/>
        <v>#VALUE!</v>
      </c>
      <c r="W21" t="e">
        <f t="shared" si="5"/>
        <v>#VALUE!</v>
      </c>
      <c r="X21" t="e">
        <f t="shared" si="5"/>
        <v>#VALUE!</v>
      </c>
      <c r="Y21" t="e">
        <f t="shared" si="5"/>
        <v>#VALUE!</v>
      </c>
      <c r="Z21" t="e">
        <f t="shared" si="5"/>
        <v>#VALUE!</v>
      </c>
      <c r="AA21" t="e">
        <f t="shared" si="5"/>
        <v>#VALUE!</v>
      </c>
      <c r="AB21" t="e">
        <f t="shared" si="5"/>
        <v>#VALUE!</v>
      </c>
      <c r="AC21" t="e">
        <f t="shared" si="5"/>
        <v>#VALUE!</v>
      </c>
      <c r="AD21" t="e">
        <f t="shared" si="5"/>
        <v>#VALUE!</v>
      </c>
    </row>
    <row r="22" ht="54" customHeight="1" spans="1:30">
      <c r="A22" s="7" t="s">
        <v>90</v>
      </c>
      <c r="B22" s="7" t="s">
        <v>102</v>
      </c>
      <c r="C22" s="7" t="s">
        <v>38</v>
      </c>
      <c r="D22" s="7" t="s">
        <v>103</v>
      </c>
      <c r="E22" s="7" t="s">
        <v>104</v>
      </c>
      <c r="F22" s="7" t="s">
        <v>105</v>
      </c>
      <c r="G22" s="7" t="s">
        <v>42</v>
      </c>
      <c r="H22" s="7" t="s">
        <v>95</v>
      </c>
      <c r="I22" s="7" t="e">
        <f t="shared" si="1"/>
        <v>#VALUE!</v>
      </c>
      <c r="J22" s="7" t="s">
        <v>106</v>
      </c>
      <c r="K22" s="7" t="e">
        <f t="shared" si="4"/>
        <v>#VALUE!</v>
      </c>
      <c r="L22" t="e">
        <f t="shared" si="4"/>
        <v>#VALUE!</v>
      </c>
      <c r="M22" t="e">
        <f t="shared" si="4"/>
        <v>#VALUE!</v>
      </c>
      <c r="N22" t="e">
        <f t="shared" si="4"/>
        <v>#VALUE!</v>
      </c>
      <c r="O22" t="e">
        <f t="shared" si="4"/>
        <v>#VALUE!</v>
      </c>
      <c r="P22" t="e">
        <f t="shared" si="4"/>
        <v>#VALUE!</v>
      </c>
      <c r="Q22" t="e">
        <f t="shared" si="4"/>
        <v>#VALUE!</v>
      </c>
      <c r="R22" t="e">
        <f t="shared" si="4"/>
        <v>#VALUE!</v>
      </c>
      <c r="S22" t="e">
        <f t="shared" si="4"/>
        <v>#VALUE!</v>
      </c>
      <c r="T22" t="e">
        <f t="shared" si="4"/>
        <v>#VALUE!</v>
      </c>
      <c r="U22" t="e">
        <f t="shared" si="5"/>
        <v>#VALUE!</v>
      </c>
      <c r="V22" t="e">
        <f t="shared" si="5"/>
        <v>#VALUE!</v>
      </c>
      <c r="W22" t="e">
        <f t="shared" si="5"/>
        <v>#VALUE!</v>
      </c>
      <c r="X22" t="e">
        <f t="shared" si="5"/>
        <v>#VALUE!</v>
      </c>
      <c r="Y22" t="e">
        <f t="shared" si="5"/>
        <v>#VALUE!</v>
      </c>
      <c r="Z22" t="e">
        <f t="shared" si="5"/>
        <v>#VALUE!</v>
      </c>
      <c r="AA22" t="e">
        <f t="shared" si="5"/>
        <v>#VALUE!</v>
      </c>
      <c r="AB22" t="e">
        <f t="shared" si="5"/>
        <v>#VALUE!</v>
      </c>
      <c r="AC22" t="e">
        <f t="shared" si="5"/>
        <v>#VALUE!</v>
      </c>
      <c r="AD22" t="e">
        <f t="shared" si="5"/>
        <v>#VALUE!</v>
      </c>
    </row>
    <row r="23" ht="54" customHeight="1" spans="1:30">
      <c r="A23" s="6" t="s">
        <v>107</v>
      </c>
      <c r="B23" s="6" t="s">
        <v>108</v>
      </c>
      <c r="C23" s="6" t="s">
        <v>46</v>
      </c>
      <c r="D23" s="6" t="s">
        <v>63</v>
      </c>
      <c r="E23" s="6" t="s">
        <v>109</v>
      </c>
      <c r="F23" s="6" t="s">
        <v>110</v>
      </c>
      <c r="G23" s="6" t="s">
        <v>49</v>
      </c>
      <c r="H23" s="6" t="s">
        <v>27</v>
      </c>
      <c r="I23" s="6" t="e">
        <f t="shared" si="1"/>
        <v>#VALUE!</v>
      </c>
      <c r="J23" s="6" t="s">
        <v>27</v>
      </c>
      <c r="K23" s="6" t="e">
        <f t="shared" si="4"/>
        <v>#VALUE!</v>
      </c>
      <c r="L23" t="e">
        <f t="shared" si="4"/>
        <v>#VALUE!</v>
      </c>
      <c r="M23" t="e">
        <f t="shared" si="4"/>
        <v>#VALUE!</v>
      </c>
      <c r="N23" t="e">
        <f t="shared" si="4"/>
        <v>#VALUE!</v>
      </c>
      <c r="O23" t="e">
        <f t="shared" si="4"/>
        <v>#VALUE!</v>
      </c>
      <c r="P23" t="e">
        <f t="shared" si="4"/>
        <v>#VALUE!</v>
      </c>
      <c r="Q23" t="e">
        <f t="shared" si="4"/>
        <v>#VALUE!</v>
      </c>
      <c r="R23" t="e">
        <f t="shared" si="4"/>
        <v>#VALUE!</v>
      </c>
      <c r="S23" t="e">
        <f t="shared" si="4"/>
        <v>#VALUE!</v>
      </c>
      <c r="T23" t="e">
        <f t="shared" si="4"/>
        <v>#VALUE!</v>
      </c>
      <c r="U23" t="e">
        <f t="shared" si="5"/>
        <v>#VALUE!</v>
      </c>
      <c r="V23" t="e">
        <f t="shared" si="5"/>
        <v>#VALUE!</v>
      </c>
      <c r="W23" t="e">
        <f t="shared" si="5"/>
        <v>#VALUE!</v>
      </c>
      <c r="X23" t="e">
        <f t="shared" si="5"/>
        <v>#VALUE!</v>
      </c>
      <c r="Y23" t="e">
        <f t="shared" si="5"/>
        <v>#VALUE!</v>
      </c>
      <c r="Z23" t="e">
        <f t="shared" si="5"/>
        <v>#VALUE!</v>
      </c>
      <c r="AA23" t="e">
        <f t="shared" si="5"/>
        <v>#VALUE!</v>
      </c>
      <c r="AB23" t="e">
        <f t="shared" si="5"/>
        <v>#VALUE!</v>
      </c>
      <c r="AC23" t="e">
        <f t="shared" si="5"/>
        <v>#VALUE!</v>
      </c>
      <c r="AD23" t="e">
        <f t="shared" si="5"/>
        <v>#VALUE!</v>
      </c>
    </row>
    <row r="24" ht="54" customHeight="1" spans="1:30">
      <c r="A24" s="7" t="s">
        <v>107</v>
      </c>
      <c r="B24" s="7" t="s">
        <v>111</v>
      </c>
      <c r="C24" s="7" t="s">
        <v>15</v>
      </c>
      <c r="D24" s="7" t="s">
        <v>112</v>
      </c>
      <c r="E24" s="7" t="s">
        <v>17</v>
      </c>
      <c r="F24" s="7" t="s">
        <v>17</v>
      </c>
      <c r="G24" s="7" t="s">
        <v>17</v>
      </c>
      <c r="H24" s="7" t="s">
        <v>27</v>
      </c>
      <c r="I24" s="7" t="e">
        <f t="shared" si="1"/>
        <v>#VALUE!</v>
      </c>
      <c r="J24" s="7" t="s">
        <v>27</v>
      </c>
      <c r="K24" s="7" t="e">
        <f t="shared" si="4"/>
        <v>#VALUE!</v>
      </c>
      <c r="L24" t="e">
        <f t="shared" si="4"/>
        <v>#VALUE!</v>
      </c>
      <c r="M24" t="e">
        <f t="shared" si="4"/>
        <v>#VALUE!</v>
      </c>
      <c r="N24" t="e">
        <f t="shared" si="4"/>
        <v>#VALUE!</v>
      </c>
      <c r="O24" t="e">
        <f t="shared" si="4"/>
        <v>#VALUE!</v>
      </c>
      <c r="P24" t="e">
        <f t="shared" si="4"/>
        <v>#VALUE!</v>
      </c>
      <c r="Q24" t="e">
        <f t="shared" si="4"/>
        <v>#VALUE!</v>
      </c>
      <c r="R24" t="e">
        <f t="shared" si="4"/>
        <v>#VALUE!</v>
      </c>
      <c r="S24" t="e">
        <f t="shared" si="4"/>
        <v>#VALUE!</v>
      </c>
      <c r="T24" t="e">
        <f t="shared" si="4"/>
        <v>#VALUE!</v>
      </c>
      <c r="U24" t="e">
        <f t="shared" si="5"/>
        <v>#VALUE!</v>
      </c>
      <c r="V24" t="e">
        <f t="shared" si="5"/>
        <v>#VALUE!</v>
      </c>
      <c r="W24" t="e">
        <f t="shared" si="5"/>
        <v>#VALUE!</v>
      </c>
      <c r="X24" t="e">
        <f t="shared" si="5"/>
        <v>#VALUE!</v>
      </c>
      <c r="Y24" t="e">
        <f t="shared" si="5"/>
        <v>#VALUE!</v>
      </c>
      <c r="Z24" t="e">
        <f t="shared" si="5"/>
        <v>#VALUE!</v>
      </c>
      <c r="AA24" t="e">
        <f t="shared" si="5"/>
        <v>#VALUE!</v>
      </c>
      <c r="AB24" t="e">
        <f t="shared" si="5"/>
        <v>#VALUE!</v>
      </c>
      <c r="AC24" t="e">
        <f t="shared" si="5"/>
        <v>#VALUE!</v>
      </c>
      <c r="AD24" t="e">
        <f t="shared" si="5"/>
        <v>#VALUE!</v>
      </c>
    </row>
    <row r="25" spans="1:30">
      <c r="A25" s="4"/>
      <c r="B25" s="4"/>
      <c r="C25" s="4"/>
      <c r="D25" s="4"/>
      <c r="E25" s="4"/>
      <c r="F25" s="4"/>
      <c r="G25" s="4"/>
      <c r="H25" s="4"/>
      <c r="I25" s="4" t="str">
        <f t="shared" si="1"/>
        <v/>
      </c>
      <c r="J25" s="4"/>
      <c r="K25" s="4" t="str">
        <f t="shared" si="4"/>
        <v/>
      </c>
      <c r="L25" t="str">
        <f t="shared" si="4"/>
        <v/>
      </c>
      <c r="M25" t="str">
        <f t="shared" si="4"/>
        <v/>
      </c>
      <c r="N25" t="str">
        <f t="shared" si="4"/>
        <v/>
      </c>
      <c r="O25" t="str">
        <f t="shared" si="4"/>
        <v/>
      </c>
      <c r="P25" t="str">
        <f t="shared" si="4"/>
        <v/>
      </c>
      <c r="Q25" t="str">
        <f t="shared" si="4"/>
        <v/>
      </c>
      <c r="R25" t="str">
        <f t="shared" si="4"/>
        <v/>
      </c>
      <c r="S25" t="str">
        <f t="shared" si="4"/>
        <v/>
      </c>
      <c r="T25" t="str">
        <f t="shared" si="4"/>
        <v/>
      </c>
      <c r="U25" t="str">
        <f t="shared" si="5"/>
        <v/>
      </c>
      <c r="V25" t="str">
        <f t="shared" si="5"/>
        <v/>
      </c>
      <c r="W25" t="str">
        <f t="shared" si="5"/>
        <v/>
      </c>
      <c r="X25" t="str">
        <f t="shared" si="5"/>
        <v/>
      </c>
      <c r="Y25" t="str">
        <f t="shared" si="5"/>
        <v/>
      </c>
      <c r="Z25" t="str">
        <f t="shared" si="5"/>
        <v/>
      </c>
      <c r="AA25" t="str">
        <f t="shared" si="5"/>
        <v/>
      </c>
      <c r="AB25" t="str">
        <f t="shared" si="5"/>
        <v/>
      </c>
      <c r="AC25" t="str">
        <f t="shared" si="5"/>
        <v/>
      </c>
      <c r="AD25" t="str">
        <f t="shared" si="5"/>
        <v/>
      </c>
    </row>
    <row r="26" spans="1:30">
      <c r="A26" s="4"/>
      <c r="B26" s="4"/>
      <c r="C26" s="4"/>
      <c r="D26" s="4"/>
      <c r="E26" s="4"/>
      <c r="F26" s="4"/>
      <c r="G26" s="4"/>
      <c r="H26" s="4"/>
      <c r="I26" s="4" t="str">
        <f t="shared" si="1"/>
        <v/>
      </c>
      <c r="J26" s="4"/>
      <c r="K26" s="4" t="str">
        <f t="shared" si="4"/>
        <v/>
      </c>
      <c r="L26" t="str">
        <f t="shared" si="4"/>
        <v/>
      </c>
      <c r="M26" t="str">
        <f t="shared" si="4"/>
        <v/>
      </c>
      <c r="N26" t="str">
        <f t="shared" si="4"/>
        <v/>
      </c>
      <c r="O26" t="str">
        <f t="shared" si="4"/>
        <v/>
      </c>
      <c r="P26" t="str">
        <f t="shared" si="4"/>
        <v/>
      </c>
      <c r="Q26" t="str">
        <f t="shared" si="4"/>
        <v/>
      </c>
      <c r="R26" t="str">
        <f t="shared" si="4"/>
        <v/>
      </c>
      <c r="S26" t="str">
        <f t="shared" si="4"/>
        <v/>
      </c>
      <c r="T26" t="str">
        <f t="shared" si="4"/>
        <v/>
      </c>
      <c r="U26" t="str">
        <f t="shared" si="5"/>
        <v/>
      </c>
      <c r="V26" t="str">
        <f t="shared" si="5"/>
        <v/>
      </c>
      <c r="W26" t="str">
        <f t="shared" si="5"/>
        <v/>
      </c>
      <c r="X26" t="str">
        <f t="shared" si="5"/>
        <v/>
      </c>
      <c r="Y26" t="str">
        <f t="shared" si="5"/>
        <v/>
      </c>
      <c r="Z26" t="str">
        <f t="shared" si="5"/>
        <v/>
      </c>
      <c r="AA26" t="str">
        <f t="shared" si="5"/>
        <v/>
      </c>
      <c r="AB26" t="str">
        <f t="shared" si="5"/>
        <v/>
      </c>
      <c r="AC26" t="str">
        <f t="shared" si="5"/>
        <v/>
      </c>
      <c r="AD26" t="str">
        <f t="shared" si="5"/>
        <v/>
      </c>
    </row>
    <row r="27" ht="24" customHeight="1" spans="1:30">
      <c r="A27" s="8" t="s">
        <v>113</v>
      </c>
      <c r="B27" s="8"/>
      <c r="C27" s="8"/>
      <c r="D27" s="8"/>
      <c r="E27" s="8"/>
      <c r="F27" s="8"/>
      <c r="G27" s="8"/>
      <c r="H27" s="8"/>
      <c r="I27" s="8" t="str">
        <f t="shared" si="1"/>
        <v/>
      </c>
      <c r="J27" s="8"/>
      <c r="K27" s="8" t="str">
        <f t="shared" si="4"/>
        <v/>
      </c>
      <c r="L27" t="str">
        <f t="shared" si="4"/>
        <v/>
      </c>
      <c r="M27" t="str">
        <f t="shared" si="4"/>
        <v/>
      </c>
      <c r="N27" t="str">
        <f t="shared" si="4"/>
        <v/>
      </c>
      <c r="O27" t="str">
        <f t="shared" si="4"/>
        <v/>
      </c>
      <c r="P27" t="str">
        <f t="shared" si="4"/>
        <v/>
      </c>
      <c r="Q27" t="str">
        <f t="shared" si="4"/>
        <v/>
      </c>
      <c r="R27" t="str">
        <f t="shared" si="4"/>
        <v/>
      </c>
      <c r="S27" t="str">
        <f t="shared" si="4"/>
        <v/>
      </c>
      <c r="T27" t="str">
        <f t="shared" si="4"/>
        <v/>
      </c>
      <c r="U27" t="str">
        <f t="shared" si="5"/>
        <v/>
      </c>
      <c r="V27" t="str">
        <f t="shared" si="5"/>
        <v/>
      </c>
      <c r="W27" t="str">
        <f t="shared" si="5"/>
        <v/>
      </c>
      <c r="X27" t="str">
        <f t="shared" si="5"/>
        <v/>
      </c>
      <c r="Y27" t="str">
        <f t="shared" si="5"/>
        <v/>
      </c>
      <c r="Z27" t="str">
        <f t="shared" si="5"/>
        <v/>
      </c>
      <c r="AA27" t="str">
        <f t="shared" si="5"/>
        <v/>
      </c>
      <c r="AB27" t="str">
        <f t="shared" si="5"/>
        <v/>
      </c>
      <c r="AC27" t="str">
        <f t="shared" si="5"/>
        <v/>
      </c>
      <c r="AD27" t="str">
        <f t="shared" si="5"/>
        <v/>
      </c>
    </row>
    <row r="28" spans="1:30">
      <c r="A28" s="4"/>
      <c r="B28" s="4"/>
      <c r="C28" s="4"/>
      <c r="D28" s="4"/>
      <c r="E28" s="4"/>
      <c r="F28" s="4"/>
      <c r="G28" s="4"/>
      <c r="H28" s="4"/>
      <c r="I28" s="4" t="str">
        <f t="shared" si="1"/>
        <v/>
      </c>
      <c r="J28" s="4"/>
      <c r="K28" s="4" t="str">
        <f t="shared" si="4"/>
        <v/>
      </c>
      <c r="L28" t="str">
        <f t="shared" si="4"/>
        <v/>
      </c>
      <c r="M28" t="str">
        <f t="shared" si="4"/>
        <v/>
      </c>
      <c r="N28" t="str">
        <f t="shared" si="4"/>
        <v/>
      </c>
      <c r="O28" t="str">
        <f t="shared" si="4"/>
        <v/>
      </c>
      <c r="P28" t="str">
        <f t="shared" si="4"/>
        <v/>
      </c>
      <c r="Q28" t="str">
        <f t="shared" si="4"/>
        <v/>
      </c>
      <c r="R28" t="str">
        <f t="shared" si="4"/>
        <v/>
      </c>
      <c r="S28" t="str">
        <f t="shared" si="4"/>
        <v/>
      </c>
      <c r="T28" t="str">
        <f t="shared" si="4"/>
        <v/>
      </c>
      <c r="U28" t="str">
        <f t="shared" si="5"/>
        <v/>
      </c>
      <c r="V28" t="str">
        <f t="shared" si="5"/>
        <v/>
      </c>
      <c r="W28" t="str">
        <f t="shared" si="5"/>
        <v/>
      </c>
      <c r="X28" t="str">
        <f t="shared" si="5"/>
        <v/>
      </c>
      <c r="Y28" t="str">
        <f t="shared" si="5"/>
        <v/>
      </c>
      <c r="Z28" t="str">
        <f t="shared" si="5"/>
        <v/>
      </c>
      <c r="AA28" t="str">
        <f t="shared" si="5"/>
        <v/>
      </c>
      <c r="AB28" t="str">
        <f t="shared" si="5"/>
        <v/>
      </c>
      <c r="AC28" t="str">
        <f t="shared" si="5"/>
        <v/>
      </c>
      <c r="AD28" t="str">
        <f t="shared" si="5"/>
        <v/>
      </c>
    </row>
    <row r="29" ht="30" customHeight="1" spans="1:30">
      <c r="A29" s="5" t="s">
        <v>114</v>
      </c>
      <c r="B29" s="5" t="s">
        <v>115</v>
      </c>
      <c r="C29" s="5" t="s">
        <v>116</v>
      </c>
      <c r="D29" s="5" t="s">
        <v>117</v>
      </c>
      <c r="E29" s="4"/>
      <c r="F29" s="4"/>
      <c r="G29" s="4"/>
      <c r="H29" s="4"/>
      <c r="I29" s="4" t="str">
        <f t="shared" si="1"/>
        <v/>
      </c>
      <c r="J29" s="4"/>
      <c r="K29" s="4" t="str">
        <f t="shared" si="4"/>
        <v/>
      </c>
      <c r="L29" t="str">
        <f t="shared" si="4"/>
        <v/>
      </c>
      <c r="M29" t="str">
        <f t="shared" si="4"/>
        <v/>
      </c>
      <c r="N29" t="str">
        <f t="shared" si="4"/>
        <v/>
      </c>
      <c r="O29" t="str">
        <f t="shared" si="4"/>
        <v/>
      </c>
      <c r="P29" t="str">
        <f t="shared" si="4"/>
        <v/>
      </c>
      <c r="Q29" t="str">
        <f t="shared" si="4"/>
        <v/>
      </c>
      <c r="R29" t="str">
        <f t="shared" si="4"/>
        <v/>
      </c>
      <c r="S29" t="str">
        <f t="shared" si="4"/>
        <v/>
      </c>
      <c r="T29" t="str">
        <f t="shared" si="4"/>
        <v/>
      </c>
      <c r="U29" t="str">
        <f t="shared" si="5"/>
        <v/>
      </c>
      <c r="V29" t="str">
        <f t="shared" si="5"/>
        <v/>
      </c>
      <c r="W29" t="str">
        <f t="shared" si="5"/>
        <v/>
      </c>
      <c r="X29" t="str">
        <f t="shared" si="5"/>
        <v/>
      </c>
      <c r="Y29" t="str">
        <f t="shared" si="5"/>
        <v/>
      </c>
      <c r="Z29" t="str">
        <f t="shared" si="5"/>
        <v/>
      </c>
      <c r="AA29" t="str">
        <f t="shared" si="5"/>
        <v/>
      </c>
      <c r="AB29" t="str">
        <f t="shared" si="5"/>
        <v/>
      </c>
      <c r="AC29" t="str">
        <f t="shared" si="5"/>
        <v/>
      </c>
      <c r="AD29" t="str">
        <f t="shared" si="5"/>
        <v/>
      </c>
    </row>
    <row r="30" ht="42" customHeight="1" spans="1:30">
      <c r="A30" s="6" t="s">
        <v>21</v>
      </c>
      <c r="B30" s="6" t="s">
        <v>118</v>
      </c>
      <c r="C30" s="6" t="s">
        <v>119</v>
      </c>
      <c r="D30" s="6" t="s">
        <v>120</v>
      </c>
      <c r="E30" s="4"/>
      <c r="F30" s="4"/>
      <c r="G30" s="4"/>
      <c r="H30" s="4"/>
      <c r="I30" s="4" t="str">
        <f t="shared" si="1"/>
        <v/>
      </c>
      <c r="J30" s="4"/>
      <c r="K30" s="4" t="str">
        <f t="shared" ref="K30:T39" si="6">IF(OR($G30="",$H30="",$H30&lt;$G30),"",IF(AND(K$9&lt;=$H30,K$9+6&gt;=$G30),1,""))</f>
        <v/>
      </c>
      <c r="L30" t="str">
        <f t="shared" si="6"/>
        <v/>
      </c>
      <c r="M30" t="str">
        <f t="shared" si="6"/>
        <v/>
      </c>
      <c r="N30" t="str">
        <f t="shared" si="6"/>
        <v/>
      </c>
      <c r="O30" t="str">
        <f t="shared" si="6"/>
        <v/>
      </c>
      <c r="P30" t="str">
        <f t="shared" si="6"/>
        <v/>
      </c>
      <c r="Q30" t="str">
        <f t="shared" si="6"/>
        <v/>
      </c>
      <c r="R30" t="str">
        <f t="shared" si="6"/>
        <v/>
      </c>
      <c r="S30" t="str">
        <f t="shared" si="6"/>
        <v/>
      </c>
      <c r="T30" t="str">
        <f t="shared" si="6"/>
        <v/>
      </c>
      <c r="U30" t="str">
        <f t="shared" ref="U30:AD39" si="7">IF(OR($G30="",$H30="",$H30&lt;$G30),"",IF(AND(U$9&lt;=$H30,U$9+6&gt;=$G30),1,""))</f>
        <v/>
      </c>
      <c r="V30" t="str">
        <f t="shared" si="7"/>
        <v/>
      </c>
      <c r="W30" t="str">
        <f t="shared" si="7"/>
        <v/>
      </c>
      <c r="X30" t="str">
        <f t="shared" si="7"/>
        <v/>
      </c>
      <c r="Y30" t="str">
        <f t="shared" si="7"/>
        <v/>
      </c>
      <c r="Z30" t="str">
        <f t="shared" si="7"/>
        <v/>
      </c>
      <c r="AA30" t="str">
        <f t="shared" si="7"/>
        <v/>
      </c>
      <c r="AB30" t="str">
        <f t="shared" si="7"/>
        <v/>
      </c>
      <c r="AC30" t="str">
        <f t="shared" si="7"/>
        <v/>
      </c>
      <c r="AD30" t="str">
        <f t="shared" si="7"/>
        <v/>
      </c>
    </row>
    <row r="31" ht="42" customHeight="1" spans="1:30">
      <c r="A31" s="7" t="s">
        <v>30</v>
      </c>
      <c r="B31" s="7" t="s">
        <v>121</v>
      </c>
      <c r="C31" s="7" t="s">
        <v>122</v>
      </c>
      <c r="D31" s="7" t="s">
        <v>123</v>
      </c>
      <c r="E31" s="4"/>
      <c r="F31" s="4"/>
      <c r="G31" s="4"/>
      <c r="H31" s="4"/>
      <c r="I31" s="4" t="str">
        <f t="shared" si="1"/>
        <v/>
      </c>
      <c r="J31" s="4"/>
      <c r="K31" s="4" t="str">
        <f t="shared" si="6"/>
        <v/>
      </c>
      <c r="L31" t="str">
        <f t="shared" si="6"/>
        <v/>
      </c>
      <c r="M31" t="str">
        <f t="shared" si="6"/>
        <v/>
      </c>
      <c r="N31" t="str">
        <f t="shared" si="6"/>
        <v/>
      </c>
      <c r="O31" t="str">
        <f t="shared" si="6"/>
        <v/>
      </c>
      <c r="P31" t="str">
        <f t="shared" si="6"/>
        <v/>
      </c>
      <c r="Q31" t="str">
        <f t="shared" si="6"/>
        <v/>
      </c>
      <c r="R31" t="str">
        <f t="shared" si="6"/>
        <v/>
      </c>
      <c r="S31" t="str">
        <f t="shared" si="6"/>
        <v/>
      </c>
      <c r="T31" t="str">
        <f t="shared" si="6"/>
        <v/>
      </c>
      <c r="U31" t="str">
        <f t="shared" si="7"/>
        <v/>
      </c>
      <c r="V31" t="str">
        <f t="shared" si="7"/>
        <v/>
      </c>
      <c r="W31" t="str">
        <f t="shared" si="7"/>
        <v/>
      </c>
      <c r="X31" t="str">
        <f t="shared" si="7"/>
        <v/>
      </c>
      <c r="Y31" t="str">
        <f t="shared" si="7"/>
        <v/>
      </c>
      <c r="Z31" t="str">
        <f t="shared" si="7"/>
        <v/>
      </c>
      <c r="AA31" t="str">
        <f t="shared" si="7"/>
        <v/>
      </c>
      <c r="AB31" t="str">
        <f t="shared" si="7"/>
        <v/>
      </c>
      <c r="AC31" t="str">
        <f t="shared" si="7"/>
        <v/>
      </c>
      <c r="AD31" t="str">
        <f t="shared" si="7"/>
        <v/>
      </c>
    </row>
    <row r="32" ht="42" customHeight="1" spans="1:30">
      <c r="A32" s="6" t="s">
        <v>30</v>
      </c>
      <c r="B32" s="6" t="s">
        <v>124</v>
      </c>
      <c r="C32" s="6" t="s">
        <v>125</v>
      </c>
      <c r="D32" s="6" t="s">
        <v>126</v>
      </c>
      <c r="E32" s="4"/>
      <c r="F32" s="4"/>
      <c r="G32" s="4"/>
      <c r="H32" s="4"/>
      <c r="I32" s="4" t="str">
        <f t="shared" si="1"/>
        <v/>
      </c>
      <c r="J32" s="4"/>
      <c r="K32" s="4" t="str">
        <f t="shared" si="6"/>
        <v/>
      </c>
      <c r="L32" t="str">
        <f t="shared" si="6"/>
        <v/>
      </c>
      <c r="M32" t="str">
        <f t="shared" si="6"/>
        <v/>
      </c>
      <c r="N32" t="str">
        <f t="shared" si="6"/>
        <v/>
      </c>
      <c r="O32" t="str">
        <f t="shared" si="6"/>
        <v/>
      </c>
      <c r="P32" t="str">
        <f t="shared" si="6"/>
        <v/>
      </c>
      <c r="Q32" t="str">
        <f t="shared" si="6"/>
        <v/>
      </c>
      <c r="R32" t="str">
        <f t="shared" si="6"/>
        <v/>
      </c>
      <c r="S32" t="str">
        <f t="shared" si="6"/>
        <v/>
      </c>
      <c r="T32" t="str">
        <f t="shared" si="6"/>
        <v/>
      </c>
      <c r="U32" t="str">
        <f t="shared" si="7"/>
        <v/>
      </c>
      <c r="V32" t="str">
        <f t="shared" si="7"/>
        <v/>
      </c>
      <c r="W32" t="str">
        <f t="shared" si="7"/>
        <v/>
      </c>
      <c r="X32" t="str">
        <f t="shared" si="7"/>
        <v/>
      </c>
      <c r="Y32" t="str">
        <f t="shared" si="7"/>
        <v/>
      </c>
      <c r="Z32" t="str">
        <f t="shared" si="7"/>
        <v/>
      </c>
      <c r="AA32" t="str">
        <f t="shared" si="7"/>
        <v/>
      </c>
      <c r="AB32" t="str">
        <f t="shared" si="7"/>
        <v/>
      </c>
      <c r="AC32" t="str">
        <f t="shared" si="7"/>
        <v/>
      </c>
      <c r="AD32" t="str">
        <f t="shared" si="7"/>
        <v/>
      </c>
    </row>
    <row r="33" ht="42" customHeight="1" spans="1:30">
      <c r="A33" s="7" t="s">
        <v>30</v>
      </c>
      <c r="B33" s="7" t="s">
        <v>127</v>
      </c>
      <c r="C33" s="7" t="s">
        <v>128</v>
      </c>
      <c r="D33" s="7" t="s">
        <v>129</v>
      </c>
      <c r="E33" s="4"/>
      <c r="F33" s="4"/>
      <c r="G33" s="4"/>
      <c r="H33" s="4"/>
      <c r="I33" s="4" t="str">
        <f t="shared" si="1"/>
        <v/>
      </c>
      <c r="J33" s="4"/>
      <c r="K33" s="4" t="str">
        <f t="shared" si="6"/>
        <v/>
      </c>
      <c r="L33" t="str">
        <f t="shared" si="6"/>
        <v/>
      </c>
      <c r="M33" t="str">
        <f t="shared" si="6"/>
        <v/>
      </c>
      <c r="N33" t="str">
        <f t="shared" si="6"/>
        <v/>
      </c>
      <c r="O33" t="str">
        <f t="shared" si="6"/>
        <v/>
      </c>
      <c r="P33" t="str">
        <f t="shared" si="6"/>
        <v/>
      </c>
      <c r="Q33" t="str">
        <f t="shared" si="6"/>
        <v/>
      </c>
      <c r="R33" t="str">
        <f t="shared" si="6"/>
        <v/>
      </c>
      <c r="S33" t="str">
        <f t="shared" si="6"/>
        <v/>
      </c>
      <c r="T33" t="str">
        <f t="shared" si="6"/>
        <v/>
      </c>
      <c r="U33" t="str">
        <f t="shared" si="7"/>
        <v/>
      </c>
      <c r="V33" t="str">
        <f t="shared" si="7"/>
        <v/>
      </c>
      <c r="W33" t="str">
        <f t="shared" si="7"/>
        <v/>
      </c>
      <c r="X33" t="str">
        <f t="shared" si="7"/>
        <v/>
      </c>
      <c r="Y33" t="str">
        <f t="shared" si="7"/>
        <v/>
      </c>
      <c r="Z33" t="str">
        <f t="shared" si="7"/>
        <v/>
      </c>
      <c r="AA33" t="str">
        <f t="shared" si="7"/>
        <v/>
      </c>
      <c r="AB33" t="str">
        <f t="shared" si="7"/>
        <v/>
      </c>
      <c r="AC33" t="str">
        <f t="shared" si="7"/>
        <v/>
      </c>
      <c r="AD33" t="str">
        <f t="shared" si="7"/>
        <v/>
      </c>
    </row>
    <row r="34" ht="42" customHeight="1" spans="1:30">
      <c r="A34" s="6" t="s">
        <v>14</v>
      </c>
      <c r="B34" s="6" t="s">
        <v>130</v>
      </c>
      <c r="C34" s="6" t="s">
        <v>131</v>
      </c>
      <c r="D34" s="6" t="s">
        <v>132</v>
      </c>
      <c r="E34" s="4"/>
      <c r="F34" s="4"/>
      <c r="G34" s="4"/>
      <c r="H34" s="4"/>
      <c r="I34" s="4" t="str">
        <f t="shared" si="1"/>
        <v/>
      </c>
      <c r="J34" s="4"/>
      <c r="K34" s="4" t="str">
        <f t="shared" si="6"/>
        <v/>
      </c>
      <c r="L34" t="str">
        <f t="shared" si="6"/>
        <v/>
      </c>
      <c r="M34" t="str">
        <f t="shared" si="6"/>
        <v/>
      </c>
      <c r="N34" t="str">
        <f t="shared" si="6"/>
        <v/>
      </c>
      <c r="O34" t="str">
        <f t="shared" si="6"/>
        <v/>
      </c>
      <c r="P34" t="str">
        <f t="shared" si="6"/>
        <v/>
      </c>
      <c r="Q34" t="str">
        <f t="shared" si="6"/>
        <v/>
      </c>
      <c r="R34" t="str">
        <f t="shared" si="6"/>
        <v/>
      </c>
      <c r="S34" t="str">
        <f t="shared" si="6"/>
        <v/>
      </c>
      <c r="T34" t="str">
        <f t="shared" si="6"/>
        <v/>
      </c>
      <c r="U34" t="str">
        <f t="shared" si="7"/>
        <v/>
      </c>
      <c r="V34" t="str">
        <f t="shared" si="7"/>
        <v/>
      </c>
      <c r="W34" t="str">
        <f t="shared" si="7"/>
        <v/>
      </c>
      <c r="X34" t="str">
        <f t="shared" si="7"/>
        <v/>
      </c>
      <c r="Y34" t="str">
        <f t="shared" si="7"/>
        <v/>
      </c>
      <c r="Z34" t="str">
        <f t="shared" si="7"/>
        <v/>
      </c>
      <c r="AA34" t="str">
        <f t="shared" si="7"/>
        <v/>
      </c>
      <c r="AB34" t="str">
        <f t="shared" si="7"/>
        <v/>
      </c>
      <c r="AC34" t="str">
        <f t="shared" si="7"/>
        <v/>
      </c>
      <c r="AD34" t="str">
        <f t="shared" si="7"/>
        <v/>
      </c>
    </row>
    <row r="35" ht="42" customHeight="1" spans="1:30">
      <c r="A35" s="7" t="s">
        <v>45</v>
      </c>
      <c r="B35" s="7" t="s">
        <v>133</v>
      </c>
      <c r="C35" s="7" t="s">
        <v>134</v>
      </c>
      <c r="D35" s="7" t="s">
        <v>135</v>
      </c>
      <c r="E35" s="4"/>
      <c r="F35" s="4"/>
      <c r="G35" s="4"/>
      <c r="H35" s="4"/>
      <c r="I35" s="4" t="str">
        <f t="shared" si="1"/>
        <v/>
      </c>
      <c r="J35" s="4"/>
      <c r="K35" s="4" t="str">
        <f t="shared" si="6"/>
        <v/>
      </c>
      <c r="L35" t="str">
        <f t="shared" si="6"/>
        <v/>
      </c>
      <c r="M35" t="str">
        <f t="shared" si="6"/>
        <v/>
      </c>
      <c r="N35" t="str">
        <f t="shared" si="6"/>
        <v/>
      </c>
      <c r="O35" t="str">
        <f t="shared" si="6"/>
        <v/>
      </c>
      <c r="P35" t="str">
        <f t="shared" si="6"/>
        <v/>
      </c>
      <c r="Q35" t="str">
        <f t="shared" si="6"/>
        <v/>
      </c>
      <c r="R35" t="str">
        <f t="shared" si="6"/>
        <v/>
      </c>
      <c r="S35" t="str">
        <f t="shared" si="6"/>
        <v/>
      </c>
      <c r="T35" t="str">
        <f t="shared" si="6"/>
        <v/>
      </c>
      <c r="U35" t="str">
        <f t="shared" si="7"/>
        <v/>
      </c>
      <c r="V35" t="str">
        <f t="shared" si="7"/>
        <v/>
      </c>
      <c r="W35" t="str">
        <f t="shared" si="7"/>
        <v/>
      </c>
      <c r="X35" t="str">
        <f t="shared" si="7"/>
        <v/>
      </c>
      <c r="Y35" t="str">
        <f t="shared" si="7"/>
        <v/>
      </c>
      <c r="Z35" t="str">
        <f t="shared" si="7"/>
        <v/>
      </c>
      <c r="AA35" t="str">
        <f t="shared" si="7"/>
        <v/>
      </c>
      <c r="AB35" t="str">
        <f t="shared" si="7"/>
        <v/>
      </c>
      <c r="AC35" t="str">
        <f t="shared" si="7"/>
        <v/>
      </c>
      <c r="AD35" t="str">
        <f t="shared" si="7"/>
        <v/>
      </c>
    </row>
    <row r="36" ht="42" customHeight="1" spans="1:30">
      <c r="A36" s="6" t="s">
        <v>45</v>
      </c>
      <c r="B36" s="6" t="s">
        <v>136</v>
      </c>
      <c r="C36" s="6" t="s">
        <v>137</v>
      </c>
      <c r="D36" s="6" t="s">
        <v>138</v>
      </c>
      <c r="E36" s="4"/>
      <c r="F36" s="4"/>
      <c r="G36" s="4"/>
      <c r="H36" s="4"/>
      <c r="I36" s="4" t="str">
        <f t="shared" si="1"/>
        <v/>
      </c>
      <c r="J36" s="4"/>
      <c r="K36" s="4" t="str">
        <f t="shared" si="6"/>
        <v/>
      </c>
      <c r="L36" t="str">
        <f t="shared" si="6"/>
        <v/>
      </c>
      <c r="M36" t="str">
        <f t="shared" si="6"/>
        <v/>
      </c>
      <c r="N36" t="str">
        <f t="shared" si="6"/>
        <v/>
      </c>
      <c r="O36" t="str">
        <f t="shared" si="6"/>
        <v/>
      </c>
      <c r="P36" t="str">
        <f t="shared" si="6"/>
        <v/>
      </c>
      <c r="Q36" t="str">
        <f t="shared" si="6"/>
        <v/>
      </c>
      <c r="R36" t="str">
        <f t="shared" si="6"/>
        <v/>
      </c>
      <c r="S36" t="str">
        <f t="shared" si="6"/>
        <v/>
      </c>
      <c r="T36" t="str">
        <f t="shared" si="6"/>
        <v/>
      </c>
      <c r="U36" t="str">
        <f t="shared" si="7"/>
        <v/>
      </c>
      <c r="V36" t="str">
        <f t="shared" si="7"/>
        <v/>
      </c>
      <c r="W36" t="str">
        <f t="shared" si="7"/>
        <v/>
      </c>
      <c r="X36" t="str">
        <f t="shared" si="7"/>
        <v/>
      </c>
      <c r="Y36" t="str">
        <f t="shared" si="7"/>
        <v/>
      </c>
      <c r="Z36" t="str">
        <f t="shared" si="7"/>
        <v/>
      </c>
      <c r="AA36" t="str">
        <f t="shared" si="7"/>
        <v/>
      </c>
      <c r="AB36" t="str">
        <f t="shared" si="7"/>
        <v/>
      </c>
      <c r="AC36" t="str">
        <f t="shared" si="7"/>
        <v/>
      </c>
      <c r="AD36" t="str">
        <f t="shared" si="7"/>
        <v/>
      </c>
    </row>
    <row r="37" ht="42" customHeight="1" spans="1:30">
      <c r="A37" s="7" t="s">
        <v>66</v>
      </c>
      <c r="B37" s="7" t="s">
        <v>139</v>
      </c>
      <c r="C37" s="7" t="s">
        <v>140</v>
      </c>
      <c r="D37" s="7" t="s">
        <v>141</v>
      </c>
      <c r="E37" s="4"/>
      <c r="F37" s="4"/>
      <c r="G37" s="4"/>
      <c r="H37" s="4"/>
      <c r="I37" s="4" t="str">
        <f t="shared" si="1"/>
        <v/>
      </c>
      <c r="J37" s="4"/>
      <c r="K37" s="4" t="str">
        <f t="shared" si="6"/>
        <v/>
      </c>
      <c r="L37" t="str">
        <f t="shared" si="6"/>
        <v/>
      </c>
      <c r="M37" t="str">
        <f t="shared" si="6"/>
        <v/>
      </c>
      <c r="N37" t="str">
        <f t="shared" si="6"/>
        <v/>
      </c>
      <c r="O37" t="str">
        <f t="shared" si="6"/>
        <v/>
      </c>
      <c r="P37" t="str">
        <f t="shared" si="6"/>
        <v/>
      </c>
      <c r="Q37" t="str">
        <f t="shared" si="6"/>
        <v/>
      </c>
      <c r="R37" t="str">
        <f t="shared" si="6"/>
        <v/>
      </c>
      <c r="S37" t="str">
        <f t="shared" si="6"/>
        <v/>
      </c>
      <c r="T37" t="str">
        <f t="shared" si="6"/>
        <v/>
      </c>
      <c r="U37" t="str">
        <f t="shared" si="7"/>
        <v/>
      </c>
      <c r="V37" t="str">
        <f t="shared" si="7"/>
        <v/>
      </c>
      <c r="W37" t="str">
        <f t="shared" si="7"/>
        <v/>
      </c>
      <c r="X37" t="str">
        <f t="shared" si="7"/>
        <v/>
      </c>
      <c r="Y37" t="str">
        <f t="shared" si="7"/>
        <v/>
      </c>
      <c r="Z37" t="str">
        <f t="shared" si="7"/>
        <v/>
      </c>
      <c r="AA37" t="str">
        <f t="shared" si="7"/>
        <v/>
      </c>
      <c r="AB37" t="str">
        <f t="shared" si="7"/>
        <v/>
      </c>
      <c r="AC37" t="str">
        <f t="shared" si="7"/>
        <v/>
      </c>
      <c r="AD37" t="str">
        <f t="shared" si="7"/>
        <v/>
      </c>
    </row>
    <row r="38" ht="42" customHeight="1" spans="1:30">
      <c r="A38" s="6" t="s">
        <v>75</v>
      </c>
      <c r="B38" s="6" t="s">
        <v>142</v>
      </c>
      <c r="C38" s="6" t="s">
        <v>143</v>
      </c>
      <c r="D38" s="6" t="s">
        <v>144</v>
      </c>
      <c r="E38" s="4"/>
      <c r="F38" s="4"/>
      <c r="G38" s="4"/>
      <c r="H38" s="4"/>
      <c r="I38" s="4" t="str">
        <f t="shared" si="1"/>
        <v/>
      </c>
      <c r="J38" s="4"/>
      <c r="K38" s="4" t="str">
        <f t="shared" si="6"/>
        <v/>
      </c>
      <c r="L38" t="str">
        <f t="shared" si="6"/>
        <v/>
      </c>
      <c r="M38" t="str">
        <f t="shared" si="6"/>
        <v/>
      </c>
      <c r="N38" t="str">
        <f t="shared" si="6"/>
        <v/>
      </c>
      <c r="O38" t="str">
        <f t="shared" si="6"/>
        <v/>
      </c>
      <c r="P38" t="str">
        <f t="shared" si="6"/>
        <v/>
      </c>
      <c r="Q38" t="str">
        <f t="shared" si="6"/>
        <v/>
      </c>
      <c r="R38" t="str">
        <f t="shared" si="6"/>
        <v/>
      </c>
      <c r="S38" t="str">
        <f t="shared" si="6"/>
        <v/>
      </c>
      <c r="T38" t="str">
        <f t="shared" si="6"/>
        <v/>
      </c>
      <c r="U38" t="str">
        <f t="shared" si="7"/>
        <v/>
      </c>
      <c r="V38" t="str">
        <f t="shared" si="7"/>
        <v/>
      </c>
      <c r="W38" t="str">
        <f t="shared" si="7"/>
        <v/>
      </c>
      <c r="X38" t="str">
        <f t="shared" si="7"/>
        <v/>
      </c>
      <c r="Y38" t="str">
        <f t="shared" si="7"/>
        <v/>
      </c>
      <c r="Z38" t="str">
        <f t="shared" si="7"/>
        <v/>
      </c>
      <c r="AA38" t="str">
        <f t="shared" si="7"/>
        <v/>
      </c>
      <c r="AB38" t="str">
        <f t="shared" si="7"/>
        <v/>
      </c>
      <c r="AC38" t="str">
        <f t="shared" si="7"/>
        <v/>
      </c>
      <c r="AD38" t="str">
        <f t="shared" si="7"/>
        <v/>
      </c>
    </row>
    <row r="39" ht="42" customHeight="1" spans="1:30">
      <c r="A39" s="7" t="s">
        <v>79</v>
      </c>
      <c r="B39" s="7" t="s">
        <v>145</v>
      </c>
      <c r="C39" s="7" t="s">
        <v>146</v>
      </c>
      <c r="D39" s="7" t="s">
        <v>147</v>
      </c>
      <c r="E39" s="4"/>
      <c r="F39" s="4"/>
      <c r="G39" s="4"/>
      <c r="H39" s="4"/>
      <c r="I39" s="4" t="str">
        <f t="shared" si="1"/>
        <v/>
      </c>
      <c r="J39" s="4"/>
      <c r="K39" s="4" t="str">
        <f t="shared" si="6"/>
        <v/>
      </c>
      <c r="L39" t="str">
        <f t="shared" si="6"/>
        <v/>
      </c>
      <c r="M39" t="str">
        <f t="shared" si="6"/>
        <v/>
      </c>
      <c r="N39" t="str">
        <f t="shared" si="6"/>
        <v/>
      </c>
      <c r="O39" t="str">
        <f t="shared" si="6"/>
        <v/>
      </c>
      <c r="P39" t="str">
        <f t="shared" si="6"/>
        <v/>
      </c>
      <c r="Q39" t="str">
        <f t="shared" si="6"/>
        <v/>
      </c>
      <c r="R39" t="str">
        <f t="shared" si="6"/>
        <v/>
      </c>
      <c r="S39" t="str">
        <f t="shared" si="6"/>
        <v/>
      </c>
      <c r="T39" t="str">
        <f t="shared" si="6"/>
        <v/>
      </c>
      <c r="U39" t="str">
        <f t="shared" si="7"/>
        <v/>
      </c>
      <c r="V39" t="str">
        <f t="shared" si="7"/>
        <v/>
      </c>
      <c r="W39" t="str">
        <f t="shared" si="7"/>
        <v/>
      </c>
      <c r="X39" t="str">
        <f t="shared" si="7"/>
        <v/>
      </c>
      <c r="Y39" t="str">
        <f t="shared" si="7"/>
        <v/>
      </c>
      <c r="Z39" t="str">
        <f t="shared" si="7"/>
        <v/>
      </c>
      <c r="AA39" t="str">
        <f t="shared" si="7"/>
        <v/>
      </c>
      <c r="AB39" t="str">
        <f t="shared" si="7"/>
        <v/>
      </c>
      <c r="AC39" t="str">
        <f t="shared" si="7"/>
        <v/>
      </c>
      <c r="AD39" t="str">
        <f t="shared" si="7"/>
        <v/>
      </c>
    </row>
    <row r="40" ht="42" customHeight="1" spans="1:30">
      <c r="A40" s="6" t="s">
        <v>79</v>
      </c>
      <c r="B40" s="6" t="s">
        <v>148</v>
      </c>
      <c r="C40" s="6" t="s">
        <v>149</v>
      </c>
      <c r="D40" s="6" t="s">
        <v>150</v>
      </c>
      <c r="E40" s="4"/>
      <c r="F40" s="4"/>
      <c r="G40" s="4"/>
      <c r="H40" s="4"/>
      <c r="I40" s="4"/>
      <c r="J40" s="4"/>
      <c r="K40" s="4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 ht="42" customHeight="1" spans="1:30">
      <c r="A41" s="7" t="s">
        <v>95</v>
      </c>
      <c r="B41" s="7" t="s">
        <v>151</v>
      </c>
      <c r="C41" s="7" t="s">
        <v>152</v>
      </c>
      <c r="D41" s="7" t="s">
        <v>153</v>
      </c>
      <c r="E41" s="4"/>
      <c r="F41" s="4"/>
      <c r="G41" s="4"/>
      <c r="H41" s="4"/>
      <c r="I41" s="4"/>
      <c r="J41" s="4"/>
      <c r="K41" s="4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 ht="24" customHeight="1" spans="1:30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</sheetData>
  <mergeCells count="3">
    <mergeCell ref="A1:K1"/>
    <mergeCell ref="A2:K2"/>
    <mergeCell ref="A27:D27"/>
  </mergeCells>
  <conditionalFormatting sqref="E10:E39">
    <cfRule type="expression" dxfId="0" priority="1">
      <formula>$E10="Complete"</formula>
    </cfRule>
    <cfRule type="expression" dxfId="1" priority="2">
      <formula>$E10="In Progress"</formula>
    </cfRule>
    <cfRule type="expression" dxfId="2" priority="3">
      <formula>$E10="At Risk"</formula>
    </cfRule>
    <cfRule type="expression" dxfId="3" priority="4">
      <formula>$E10="Not Started"</formula>
    </cfRule>
  </conditionalFormatting>
  <conditionalFormatting sqref="F10:F39">
    <cfRule type="expression" dxfId="2" priority="5">
      <formula>$F10="P0"</formula>
    </cfRule>
    <cfRule type="expression" dxfId="4" priority="6">
      <formula>$F10="P1"</formula>
    </cfRule>
    <cfRule type="expression" dxfId="3" priority="7">
      <formula>$F10="P2"</formula>
    </cfRule>
  </conditionalFormatting>
  <conditionalFormatting sqref="K10:AD39">
    <cfRule type="expression" dxfId="5" priority="8">
      <formula>AND(K10=1,$E10="Complete")</formula>
    </cfRule>
    <cfRule type="expression" dxfId="6" priority="9">
      <formula>AND(K10=1,$E10="In Progress")</formula>
    </cfRule>
    <cfRule type="expression" dxfId="7" priority="10">
      <formula>AND(K10=1,$E10="At Risk")</formula>
    </cfRule>
    <cfRule type="expression" dxfId="8" priority="11">
      <formula>AND(K10=1,$E10="Not Started")</formula>
    </cfRule>
  </conditionalFormatting>
  <dataValidations count="4">
    <dataValidation type="list" sqref="D5 D9 D10:D39">
      <formula1>"Maya Chen,Lena Ortiz,Noah Patel,Ravi Singh,Ivy Park,Sofia Reed,Miles Grant,Ava Brooks,Ethan Cole"</formula1>
    </dataValidation>
    <dataValidation type="list" sqref="B10:B39">
      <formula1>"Product,Engineering,Design,Growth,Support &amp; Ops,Legal &amp; Security"</formula1>
    </dataValidation>
    <dataValidation type="list" sqref="E10:E39">
      <formula1>"Not Started,In Progress,At Risk,Complete"</formula1>
    </dataValidation>
    <dataValidation type="list" sqref="F10:F39">
      <formula1>"P0,P1,P2"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张文娟</cp:lastModifiedBy>
  <dcterms:created xsi:type="dcterms:W3CDTF">2026-09-10T10:34:00Z</dcterms:created>
  <dcterms:modified xsi:type="dcterms:W3CDTF">2026-09-10T10:36:38Z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913E5EA4A36946EC8E6FE42328411663_12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